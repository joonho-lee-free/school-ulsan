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10.200\서버공유\마감\12월\부산경남\"/>
    </mc:Choice>
  </mc:AlternateContent>
  <xr:revisionPtr revIDLastSave="0" documentId="13_ncr:11_{EB40053B-0911-4822-80A3-46ED19D7C7A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원장" sheetId="2" r:id="rId1"/>
  </sheets>
  <definedNames>
    <definedName name="_xlnm._FilterDatabase" localSheetId="0" hidden="1">원장!$B$3:$O$35</definedName>
    <definedName name="_xlnm.Print_Titles" localSheetId="0">원장!$1:$3</definedName>
  </definedNames>
  <calcPr calcId="191029"/>
</workbook>
</file>

<file path=xl/calcChain.xml><?xml version="1.0" encoding="utf-8"?>
<calcChain xmlns="http://schemas.openxmlformats.org/spreadsheetml/2006/main">
  <c r="K32" i="2" l="1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4" i="2"/>
  <c r="J4" i="2"/>
  <c r="K39" i="2"/>
  <c r="J33" i="2" l="1"/>
  <c r="K40" i="2" s="1"/>
  <c r="K34" i="2" l="1"/>
  <c r="K44" i="2"/>
  <c r="K41" i="2"/>
</calcChain>
</file>

<file path=xl/sharedStrings.xml><?xml version="1.0" encoding="utf-8"?>
<sst xmlns="http://schemas.openxmlformats.org/spreadsheetml/2006/main" count="186" uniqueCount="58">
  <si>
    <t>단위</t>
  </si>
  <si>
    <t>총수량</t>
  </si>
  <si>
    <t>단가</t>
  </si>
  <si>
    <t>공급가액</t>
  </si>
  <si>
    <t>전월미수</t>
    <phoneticPr fontId="1" type="noConversion"/>
  </si>
  <si>
    <t>당월매출</t>
    <phoneticPr fontId="1" type="noConversion"/>
  </si>
  <si>
    <t>합     계</t>
    <phoneticPr fontId="1" type="noConversion"/>
  </si>
  <si>
    <t>과    세</t>
    <phoneticPr fontId="1" type="noConversion"/>
  </si>
  <si>
    <t>면    세</t>
    <phoneticPr fontId="1" type="noConversion"/>
  </si>
  <si>
    <t>합    계</t>
    <phoneticPr fontId="1" type="noConversion"/>
  </si>
  <si>
    <t>전월 미수 금액</t>
    <phoneticPr fontId="1" type="noConversion"/>
  </si>
  <si>
    <t>급식일자</t>
  </si>
  <si>
    <t>급식처</t>
  </si>
  <si>
    <t>품목명/비고</t>
  </si>
  <si>
    <t>품목명</t>
  </si>
  <si>
    <t>용도</t>
  </si>
  <si>
    <t>매출금액</t>
  </si>
  <si>
    <t>비고</t>
  </si>
  <si>
    <t>이력번호</t>
  </si>
  <si>
    <t>도축장</t>
  </si>
  <si>
    <r>
      <t xml:space="preserve">입금계좌 : 부산은행 </t>
    </r>
    <r>
      <rPr>
        <b/>
        <sz val="12"/>
        <color rgb="FFFF0000"/>
        <rFont val="맑은 고딕"/>
        <family val="3"/>
        <charset val="129"/>
        <scheme val="minor"/>
      </rPr>
      <t>113-2010-2174-01</t>
    </r>
    <r>
      <rPr>
        <b/>
        <sz val="12"/>
        <color rgb="FF000000"/>
        <rFont val="맑은 고딕"/>
        <family val="3"/>
        <charset val="129"/>
        <scheme val="minor"/>
      </rPr>
      <t xml:space="preserve"> ㈜태성푸드</t>
    </r>
    <phoneticPr fontId="1" type="noConversion"/>
  </si>
  <si>
    <r>
      <t>** 입금계좌 부산</t>
    </r>
    <r>
      <rPr>
        <b/>
        <u/>
        <sz val="20"/>
        <color rgb="FFFF0000"/>
        <rFont val="맑은 고딕"/>
        <family val="3"/>
        <charset val="129"/>
        <scheme val="minor"/>
      </rPr>
      <t>[113-2010-2174-01]</t>
    </r>
    <r>
      <rPr>
        <b/>
        <sz val="15"/>
        <color theme="1"/>
        <rFont val="맑은 고딕"/>
        <family val="3"/>
        <charset val="129"/>
        <scheme val="minor"/>
      </rPr>
      <t>으로 입금 부탁드립니다.</t>
    </r>
    <phoneticPr fontId="1" type="noConversion"/>
  </si>
  <si>
    <t>비고</t>
    <phoneticPr fontId="1" type="noConversion"/>
  </si>
  <si>
    <t>12월 에스에이치유통 거래원장</t>
    <phoneticPr fontId="1" type="noConversion"/>
  </si>
  <si>
    <t>(주)태성푸드 (Tel : 051)972-8461  /  Fax : 051)972-8463 )</t>
    <phoneticPr fontId="1" type="noConversion"/>
  </si>
  <si>
    <t>20251202</t>
  </si>
  <si>
    <t>에스에이치유통</t>
  </si>
  <si>
    <t>배송건 수</t>
  </si>
  <si>
    <t>건</t>
  </si>
  <si>
    <t>면세</t>
  </si>
  <si>
    <t>부산구화학교</t>
  </si>
  <si>
    <t>한우 갈비(냉동)</t>
  </si>
  <si>
    <t>kg</t>
  </si>
  <si>
    <t>002170947784</t>
  </si>
  <si>
    <t>한우 사태(냉장)</t>
  </si>
  <si>
    <t>20251203</t>
  </si>
  <si>
    <t>한우 우둔(냉장)</t>
  </si>
  <si>
    <t>002148804542</t>
  </si>
  <si>
    <t>20251204</t>
  </si>
  <si>
    <t>20251205</t>
  </si>
  <si>
    <t>돈 목심(냉장)</t>
  </si>
  <si>
    <t>170102100728</t>
  </si>
  <si>
    <t>20251208</t>
  </si>
  <si>
    <t>한우 양지(냉장)</t>
  </si>
  <si>
    <t>20251211</t>
  </si>
  <si>
    <t>돈 전지(냉장)</t>
  </si>
  <si>
    <t>170016101595</t>
  </si>
  <si>
    <t>20251212</t>
  </si>
  <si>
    <t>20251215</t>
  </si>
  <si>
    <t>한우 설도(냉장)</t>
  </si>
  <si>
    <t>20251216</t>
  </si>
  <si>
    <t>002167364680</t>
  </si>
  <si>
    <t>20251217</t>
  </si>
  <si>
    <t>20251219</t>
  </si>
  <si>
    <t>180038000628</t>
  </si>
  <si>
    <t>20251222</t>
  </si>
  <si>
    <t>002175589121</t>
  </si>
  <si>
    <t>20251223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</si>
</sst>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color rgb="FF000000"/>
      <name val="Arial"/>
      <family val="2"/>
    </font>
    <font>
      <b/>
      <sz val="9"/>
      <color rgb="FF164261"/>
      <name val="굴림체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u/>
      <sz val="2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굴림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9"/>
      <color theme="1"/>
      <name val="굴림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1" fillId="0" borderId="0" applyFont="0" applyFill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1" xfId="0" applyBorder="1">
      <alignment vertical="center"/>
    </xf>
    <xf numFmtId="41" fontId="2" fillId="0" borderId="0" xfId="1" applyFont="1" applyAlignment="1">
      <alignment vertical="center"/>
    </xf>
    <xf numFmtId="176" fontId="2" fillId="0" borderId="0" xfId="1" applyNumberFormat="1" applyFont="1" applyAlignment="1">
      <alignment vertical="center"/>
    </xf>
    <xf numFmtId="176" fontId="0" fillId="0" borderId="1" xfId="1" applyNumberFormat="1" applyFont="1" applyBorder="1">
      <alignment vertical="center"/>
    </xf>
    <xf numFmtId="41" fontId="0" fillId="0" borderId="1" xfId="1" applyFont="1" applyBorder="1">
      <alignment vertical="center"/>
    </xf>
    <xf numFmtId="41" fontId="0" fillId="0" borderId="2" xfId="1" applyFont="1" applyBorder="1">
      <alignment vertical="center"/>
    </xf>
    <xf numFmtId="176" fontId="0" fillId="0" borderId="2" xfId="1" applyNumberFormat="1" applyFont="1" applyBorder="1">
      <alignment vertical="center"/>
    </xf>
    <xf numFmtId="0" fontId="0" fillId="0" borderId="2" xfId="0" applyBorder="1">
      <alignment vertical="center"/>
    </xf>
    <xf numFmtId="41" fontId="8" fillId="5" borderId="6" xfId="1" applyFont="1" applyFill="1" applyBorder="1" applyAlignment="1">
      <alignment horizontal="center" vertical="center"/>
    </xf>
    <xf numFmtId="41" fontId="8" fillId="5" borderId="8" xfId="1" applyFont="1" applyFill="1" applyBorder="1" applyAlignment="1">
      <alignment horizontal="center" vertical="center"/>
    </xf>
    <xf numFmtId="41" fontId="8" fillId="5" borderId="10" xfId="1" applyFont="1" applyFill="1" applyBorder="1" applyAlignment="1">
      <alignment horizontal="center" vertical="center"/>
    </xf>
    <xf numFmtId="41" fontId="8" fillId="0" borderId="6" xfId="1" applyFont="1" applyBorder="1" applyAlignment="1">
      <alignment horizontal="center" vertical="center"/>
    </xf>
    <xf numFmtId="41" fontId="8" fillId="0" borderId="10" xfId="1" applyFont="1" applyBorder="1" applyAlignment="1">
      <alignment horizontal="center" vertical="center"/>
    </xf>
    <xf numFmtId="41" fontId="2" fillId="0" borderId="7" xfId="1" applyFont="1" applyBorder="1" applyAlignment="1">
      <alignment vertical="center"/>
    </xf>
    <xf numFmtId="41" fontId="2" fillId="0" borderId="9" xfId="1" applyFont="1" applyBorder="1" applyAlignment="1">
      <alignment vertical="center"/>
    </xf>
    <xf numFmtId="41" fontId="2" fillId="0" borderId="11" xfId="1" applyFont="1" applyBorder="1" applyAlignment="1">
      <alignment vertical="center"/>
    </xf>
    <xf numFmtId="0" fontId="5" fillId="3" borderId="1" xfId="0" applyFont="1" applyFill="1" applyBorder="1">
      <alignment vertical="center"/>
    </xf>
    <xf numFmtId="0" fontId="7" fillId="3" borderId="1" xfId="0" applyFont="1" applyFill="1" applyBorder="1" applyAlignment="1">
      <alignment horizontal="center" vertical="center"/>
    </xf>
    <xf numFmtId="176" fontId="7" fillId="3" borderId="1" xfId="1" applyNumberFormat="1" applyFont="1" applyFill="1" applyBorder="1" applyAlignment="1">
      <alignment horizontal="center" vertical="center"/>
    </xf>
    <xf numFmtId="41" fontId="7" fillId="3" borderId="1" xfId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1" fontId="2" fillId="5" borderId="11" xfId="1" applyFont="1" applyFill="1" applyBorder="1" applyAlignment="1">
      <alignment vertical="center"/>
    </xf>
    <xf numFmtId="41" fontId="0" fillId="0" borderId="2" xfId="1" applyFont="1" applyFill="1" applyBorder="1">
      <alignment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0" fillId="0" borderId="1" xfId="1" applyNumberFormat="1" applyFont="1" applyBorder="1">
      <alignment vertical="center"/>
    </xf>
    <xf numFmtId="49" fontId="0" fillId="0" borderId="2" xfId="1" applyNumberFormat="1" applyFont="1" applyBorder="1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 wrapText="1"/>
    </xf>
    <xf numFmtId="49" fontId="14" fillId="0" borderId="1" xfId="0" applyNumberFormat="1" applyFont="1" applyBorder="1" applyAlignment="1">
      <alignment horizontal="left" vertical="center"/>
    </xf>
    <xf numFmtId="49" fontId="12" fillId="0" borderId="1" xfId="0" applyNumberFormat="1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left" vertical="center"/>
    </xf>
    <xf numFmtId="3" fontId="12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center" vertical="center"/>
    </xf>
    <xf numFmtId="41" fontId="12" fillId="0" borderId="1" xfId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/>
    </xf>
    <xf numFmtId="0" fontId="4" fillId="4" borderId="3" xfId="0" applyFont="1" applyFill="1" applyBorder="1" applyAlignment="1">
      <alignment horizontal="right" vertical="center"/>
    </xf>
    <xf numFmtId="0" fontId="4" fillId="4" borderId="4" xfId="0" applyFont="1" applyFill="1" applyBorder="1" applyAlignment="1">
      <alignment horizontal="right" vertical="center"/>
    </xf>
    <xf numFmtId="0" fontId="4" fillId="4" borderId="5" xfId="0" applyFont="1" applyFill="1" applyBorder="1" applyAlignment="1">
      <alignment horizontal="right" vertical="center"/>
    </xf>
    <xf numFmtId="0" fontId="8" fillId="0" borderId="1" xfId="0" quotePrefix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44"/>
  <sheetViews>
    <sheetView tabSelected="1" zoomScaleNormal="100" workbookViewId="0">
      <pane ySplit="3" topLeftCell="A16" activePane="bottomLeft" state="frozen"/>
      <selection pane="bottomLeft" activeCell="K41" sqref="K41"/>
    </sheetView>
  </sheetViews>
  <sheetFormatPr defaultColWidth="9" defaultRowHeight="17.399999999999999" x14ac:dyDescent="0.4"/>
  <cols>
    <col min="1" max="1" width="3.3984375" style="1" customWidth="1"/>
    <col min="2" max="2" width="11" style="31" customWidth="1"/>
    <col min="3" max="3" width="13.09765625" style="1" customWidth="1"/>
    <col min="4" max="4" width="11.8984375" style="1" customWidth="1"/>
    <col min="5" max="5" width="29.5" style="1" bestFit="1" customWidth="1"/>
    <col min="6" max="6" width="4.5" style="5" customWidth="1"/>
    <col min="7" max="7" width="10.59765625" style="4" customWidth="1"/>
    <col min="8" max="8" width="7.59765625" style="4" customWidth="1"/>
    <col min="9" max="9" width="10.5" style="4" bestFit="1" customWidth="1"/>
    <col min="10" max="10" width="12.59765625" style="4" customWidth="1"/>
    <col min="11" max="11" width="13.69921875" style="4" bestFit="1" customWidth="1"/>
    <col min="12" max="12" width="12.3984375" style="4" bestFit="1" customWidth="1"/>
    <col min="13" max="13" width="15.09765625" style="30" bestFit="1" customWidth="1"/>
    <col min="14" max="14" width="18.3984375" style="4" customWidth="1"/>
    <col min="15" max="15" width="10.5" style="4" bestFit="1" customWidth="1"/>
    <col min="16" max="16384" width="9" style="1"/>
  </cols>
  <sheetData>
    <row r="1" spans="1:15" ht="30" customHeight="1" x14ac:dyDescent="0.4">
      <c r="A1" s="41" t="s">
        <v>23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</row>
    <row r="2" spans="1:15" ht="22.5" customHeight="1" x14ac:dyDescent="0.4">
      <c r="A2" s="42" t="s">
        <v>24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</row>
    <row r="3" spans="1:15" s="2" customFormat="1" ht="16.5" customHeight="1" x14ac:dyDescent="0.4">
      <c r="A3" s="19"/>
      <c r="B3" s="20" t="s">
        <v>11</v>
      </c>
      <c r="C3" s="20" t="s">
        <v>12</v>
      </c>
      <c r="D3" s="32" t="s">
        <v>13</v>
      </c>
      <c r="E3" s="20" t="s">
        <v>14</v>
      </c>
      <c r="F3" s="21" t="s">
        <v>0</v>
      </c>
      <c r="G3" s="22" t="s">
        <v>15</v>
      </c>
      <c r="H3" s="22" t="s">
        <v>1</v>
      </c>
      <c r="I3" s="22" t="s">
        <v>2</v>
      </c>
      <c r="J3" s="22" t="s">
        <v>3</v>
      </c>
      <c r="K3" s="22" t="s">
        <v>16</v>
      </c>
      <c r="L3" s="22" t="s">
        <v>17</v>
      </c>
      <c r="M3" s="27" t="s">
        <v>18</v>
      </c>
      <c r="N3" s="22" t="s">
        <v>19</v>
      </c>
      <c r="O3" s="22" t="s">
        <v>22</v>
      </c>
    </row>
    <row r="4" spans="1:15" customFormat="1" ht="16.5" customHeight="1" x14ac:dyDescent="0.4">
      <c r="A4" s="23">
        <v>1</v>
      </c>
      <c r="B4" s="34" t="s">
        <v>25</v>
      </c>
      <c r="C4" s="35" t="s">
        <v>26</v>
      </c>
      <c r="D4" s="35"/>
      <c r="E4" s="35" t="s">
        <v>27</v>
      </c>
      <c r="F4" s="34" t="s">
        <v>28</v>
      </c>
      <c r="G4" s="35"/>
      <c r="H4" s="37">
        <v>1</v>
      </c>
      <c r="I4" s="36">
        <v>25000</v>
      </c>
      <c r="J4" s="36">
        <f>H4*I4</f>
        <v>25000</v>
      </c>
      <c r="K4" s="38">
        <f>J4</f>
        <v>25000</v>
      </c>
      <c r="L4" s="39"/>
      <c r="M4" s="33"/>
      <c r="N4" s="35"/>
      <c r="O4" s="34" t="s">
        <v>29</v>
      </c>
    </row>
    <row r="5" spans="1:15" customFormat="1" ht="16.5" customHeight="1" x14ac:dyDescent="0.4">
      <c r="A5" s="23">
        <v>2</v>
      </c>
      <c r="B5" s="34" t="s">
        <v>25</v>
      </c>
      <c r="C5" s="35" t="s">
        <v>30</v>
      </c>
      <c r="D5" s="35"/>
      <c r="E5" s="35" t="s">
        <v>31</v>
      </c>
      <c r="F5" s="34" t="s">
        <v>32</v>
      </c>
      <c r="G5" s="35"/>
      <c r="H5" s="37">
        <v>10</v>
      </c>
      <c r="I5" s="36">
        <v>30000</v>
      </c>
      <c r="J5" s="36">
        <f>H5*I5</f>
        <v>300000</v>
      </c>
      <c r="K5" s="38">
        <f>K4+J5</f>
        <v>325000</v>
      </c>
      <c r="L5" s="39"/>
      <c r="M5" s="33" t="s">
        <v>33</v>
      </c>
      <c r="N5" s="35"/>
      <c r="O5" s="34" t="s">
        <v>29</v>
      </c>
    </row>
    <row r="6" spans="1:15" customFormat="1" ht="16.5" customHeight="1" x14ac:dyDescent="0.4">
      <c r="A6" s="23">
        <v>3</v>
      </c>
      <c r="B6" s="34" t="s">
        <v>25</v>
      </c>
      <c r="C6" s="35" t="s">
        <v>30</v>
      </c>
      <c r="D6" s="35"/>
      <c r="E6" s="35" t="s">
        <v>34</v>
      </c>
      <c r="F6" s="34" t="s">
        <v>32</v>
      </c>
      <c r="G6" s="35"/>
      <c r="H6" s="37">
        <v>16</v>
      </c>
      <c r="I6" s="36">
        <v>28000</v>
      </c>
      <c r="J6" s="36">
        <f>H6*I6</f>
        <v>448000</v>
      </c>
      <c r="K6" s="38">
        <f>K5+J6</f>
        <v>773000</v>
      </c>
      <c r="L6" s="39"/>
      <c r="M6" s="33" t="s">
        <v>33</v>
      </c>
      <c r="N6" s="35"/>
      <c r="O6" s="34" t="s">
        <v>29</v>
      </c>
    </row>
    <row r="7" spans="1:15" customFormat="1" ht="16.5" customHeight="1" x14ac:dyDescent="0.4">
      <c r="A7" s="23">
        <v>4</v>
      </c>
      <c r="B7" s="34" t="s">
        <v>35</v>
      </c>
      <c r="C7" s="35" t="s">
        <v>26</v>
      </c>
      <c r="D7" s="35"/>
      <c r="E7" s="35" t="s">
        <v>27</v>
      </c>
      <c r="F7" s="34" t="s">
        <v>28</v>
      </c>
      <c r="G7" s="35"/>
      <c r="H7" s="37">
        <v>1</v>
      </c>
      <c r="I7" s="36">
        <v>25000</v>
      </c>
      <c r="J7" s="36">
        <f>H7*I7</f>
        <v>25000</v>
      </c>
      <c r="K7" s="38">
        <f>K6+J7</f>
        <v>798000</v>
      </c>
      <c r="L7" s="39"/>
      <c r="M7" s="33"/>
      <c r="N7" s="35"/>
      <c r="O7" s="34" t="s">
        <v>29</v>
      </c>
    </row>
    <row r="8" spans="1:15" customFormat="1" ht="16.5" customHeight="1" x14ac:dyDescent="0.4">
      <c r="A8" s="23">
        <v>5</v>
      </c>
      <c r="B8" s="34" t="s">
        <v>35</v>
      </c>
      <c r="C8" s="35" t="s">
        <v>30</v>
      </c>
      <c r="D8" s="35"/>
      <c r="E8" s="35" t="s">
        <v>36</v>
      </c>
      <c r="F8" s="34" t="s">
        <v>32</v>
      </c>
      <c r="G8" s="35"/>
      <c r="H8" s="37">
        <v>3</v>
      </c>
      <c r="I8" s="36">
        <v>28000</v>
      </c>
      <c r="J8" s="36">
        <f>H8*I8</f>
        <v>84000</v>
      </c>
      <c r="K8" s="38">
        <f>K7+J8</f>
        <v>882000</v>
      </c>
      <c r="L8" s="39"/>
      <c r="M8" s="33" t="s">
        <v>37</v>
      </c>
      <c r="N8" s="35"/>
      <c r="O8" s="34" t="s">
        <v>29</v>
      </c>
    </row>
    <row r="9" spans="1:15" customFormat="1" ht="16.5" customHeight="1" x14ac:dyDescent="0.4">
      <c r="A9" s="23">
        <v>6</v>
      </c>
      <c r="B9" s="34" t="s">
        <v>35</v>
      </c>
      <c r="C9" s="35" t="s">
        <v>30</v>
      </c>
      <c r="D9" s="35"/>
      <c r="E9" s="35" t="s">
        <v>36</v>
      </c>
      <c r="F9" s="34" t="s">
        <v>32</v>
      </c>
      <c r="G9" s="35"/>
      <c r="H9" s="37">
        <v>3</v>
      </c>
      <c r="I9" s="36">
        <v>28000</v>
      </c>
      <c r="J9" s="36">
        <f>H9*I9</f>
        <v>84000</v>
      </c>
      <c r="K9" s="38">
        <f>K8+J9</f>
        <v>966000</v>
      </c>
      <c r="L9" s="39"/>
      <c r="M9" s="33" t="s">
        <v>37</v>
      </c>
      <c r="N9" s="35"/>
      <c r="O9" s="34" t="s">
        <v>29</v>
      </c>
    </row>
    <row r="10" spans="1:15" customFormat="1" ht="16.5" customHeight="1" x14ac:dyDescent="0.4">
      <c r="A10" s="23">
        <v>7</v>
      </c>
      <c r="B10" s="34" t="s">
        <v>38</v>
      </c>
      <c r="C10" s="35" t="s">
        <v>26</v>
      </c>
      <c r="D10" s="35"/>
      <c r="E10" s="35" t="s">
        <v>27</v>
      </c>
      <c r="F10" s="34" t="s">
        <v>28</v>
      </c>
      <c r="G10" s="35"/>
      <c r="H10" s="37">
        <v>1</v>
      </c>
      <c r="I10" s="36">
        <v>25000</v>
      </c>
      <c r="J10" s="36">
        <f>H10*I10</f>
        <v>25000</v>
      </c>
      <c r="K10" s="38">
        <f>K9+J10</f>
        <v>991000</v>
      </c>
      <c r="L10" s="39"/>
      <c r="M10" s="33"/>
      <c r="N10" s="35"/>
      <c r="O10" s="34" t="s">
        <v>29</v>
      </c>
    </row>
    <row r="11" spans="1:15" customFormat="1" ht="16.5" customHeight="1" x14ac:dyDescent="0.4">
      <c r="A11" s="23">
        <v>8</v>
      </c>
      <c r="B11" s="34" t="s">
        <v>38</v>
      </c>
      <c r="C11" s="35" t="s">
        <v>30</v>
      </c>
      <c r="D11" s="35"/>
      <c r="E11" s="35" t="s">
        <v>36</v>
      </c>
      <c r="F11" s="34" t="s">
        <v>32</v>
      </c>
      <c r="G11" s="35"/>
      <c r="H11" s="37">
        <v>2</v>
      </c>
      <c r="I11" s="36">
        <v>28000</v>
      </c>
      <c r="J11" s="36">
        <f>H11*I11</f>
        <v>56000</v>
      </c>
      <c r="K11" s="38">
        <f>K10+J11</f>
        <v>1047000</v>
      </c>
      <c r="L11" s="39"/>
      <c r="M11" s="33" t="s">
        <v>37</v>
      </c>
      <c r="N11" s="35"/>
      <c r="O11" s="34" t="s">
        <v>29</v>
      </c>
    </row>
    <row r="12" spans="1:15" customFormat="1" ht="16.5" customHeight="1" x14ac:dyDescent="0.4">
      <c r="A12" s="23">
        <v>9</v>
      </c>
      <c r="B12" s="34" t="s">
        <v>39</v>
      </c>
      <c r="C12" s="35" t="s">
        <v>26</v>
      </c>
      <c r="D12" s="35"/>
      <c r="E12" s="35" t="s">
        <v>27</v>
      </c>
      <c r="F12" s="34" t="s">
        <v>28</v>
      </c>
      <c r="G12" s="35"/>
      <c r="H12" s="37">
        <v>1</v>
      </c>
      <c r="I12" s="36">
        <v>25000</v>
      </c>
      <c r="J12" s="36">
        <f>H12*I12</f>
        <v>25000</v>
      </c>
      <c r="K12" s="38">
        <f>K11+J12</f>
        <v>1072000</v>
      </c>
      <c r="L12" s="39"/>
      <c r="M12" s="33"/>
      <c r="N12" s="35"/>
      <c r="O12" s="34" t="s">
        <v>29</v>
      </c>
    </row>
    <row r="13" spans="1:15" customFormat="1" ht="16.5" customHeight="1" x14ac:dyDescent="0.4">
      <c r="A13" s="23">
        <v>10</v>
      </c>
      <c r="B13" s="34" t="s">
        <v>39</v>
      </c>
      <c r="C13" s="35" t="s">
        <v>30</v>
      </c>
      <c r="D13" s="35"/>
      <c r="E13" s="35" t="s">
        <v>40</v>
      </c>
      <c r="F13" s="34" t="s">
        <v>32</v>
      </c>
      <c r="G13" s="35"/>
      <c r="H13" s="37">
        <v>17</v>
      </c>
      <c r="I13" s="36">
        <v>14000</v>
      </c>
      <c r="J13" s="36">
        <f>H13*I13</f>
        <v>238000</v>
      </c>
      <c r="K13" s="38">
        <f>K12+J13</f>
        <v>1310000</v>
      </c>
      <c r="L13" s="39"/>
      <c r="M13" s="33" t="s">
        <v>41</v>
      </c>
      <c r="N13" s="35"/>
      <c r="O13" s="34" t="s">
        <v>29</v>
      </c>
    </row>
    <row r="14" spans="1:15" customFormat="1" ht="16.5" customHeight="1" x14ac:dyDescent="0.4">
      <c r="A14" s="23">
        <v>11</v>
      </c>
      <c r="B14" s="34" t="s">
        <v>42</v>
      </c>
      <c r="C14" s="35" t="s">
        <v>26</v>
      </c>
      <c r="D14" s="35"/>
      <c r="E14" s="35" t="s">
        <v>27</v>
      </c>
      <c r="F14" s="34" t="s">
        <v>28</v>
      </c>
      <c r="G14" s="35"/>
      <c r="H14" s="37">
        <v>1</v>
      </c>
      <c r="I14" s="36">
        <v>25000</v>
      </c>
      <c r="J14" s="36">
        <f>H14*I14</f>
        <v>25000</v>
      </c>
      <c r="K14" s="38">
        <f>K13+J14</f>
        <v>1335000</v>
      </c>
      <c r="L14" s="39"/>
      <c r="M14" s="33"/>
      <c r="N14" s="35"/>
      <c r="O14" s="34" t="s">
        <v>29</v>
      </c>
    </row>
    <row r="15" spans="1:15" customFormat="1" ht="16.5" customHeight="1" x14ac:dyDescent="0.4">
      <c r="A15" s="23">
        <v>12</v>
      </c>
      <c r="B15" s="34" t="s">
        <v>42</v>
      </c>
      <c r="C15" s="35" t="s">
        <v>30</v>
      </c>
      <c r="D15" s="35"/>
      <c r="E15" s="35" t="s">
        <v>43</v>
      </c>
      <c r="F15" s="34" t="s">
        <v>32</v>
      </c>
      <c r="G15" s="35"/>
      <c r="H15" s="37">
        <v>3</v>
      </c>
      <c r="I15" s="36">
        <v>28000</v>
      </c>
      <c r="J15" s="36">
        <f>H15*I15</f>
        <v>84000</v>
      </c>
      <c r="K15" s="38">
        <f>K14+J15</f>
        <v>1419000</v>
      </c>
      <c r="L15" s="39"/>
      <c r="M15" s="33" t="s">
        <v>37</v>
      </c>
      <c r="N15" s="35"/>
      <c r="O15" s="34" t="s">
        <v>29</v>
      </c>
    </row>
    <row r="16" spans="1:15" customFormat="1" ht="16.5" customHeight="1" x14ac:dyDescent="0.4">
      <c r="A16" s="23">
        <v>13</v>
      </c>
      <c r="B16" s="34" t="s">
        <v>44</v>
      </c>
      <c r="C16" s="35" t="s">
        <v>26</v>
      </c>
      <c r="D16" s="35"/>
      <c r="E16" s="35" t="s">
        <v>27</v>
      </c>
      <c r="F16" s="34" t="s">
        <v>28</v>
      </c>
      <c r="G16" s="35"/>
      <c r="H16" s="37">
        <v>1</v>
      </c>
      <c r="I16" s="36">
        <v>25000</v>
      </c>
      <c r="J16" s="36">
        <f>H16*I16</f>
        <v>25000</v>
      </c>
      <c r="K16" s="38">
        <f>K15+J16</f>
        <v>1444000</v>
      </c>
      <c r="L16" s="39"/>
      <c r="M16" s="33"/>
      <c r="N16" s="35"/>
      <c r="O16" s="34" t="s">
        <v>29</v>
      </c>
    </row>
    <row r="17" spans="1:15" customFormat="1" ht="16.5" customHeight="1" x14ac:dyDescent="0.4">
      <c r="A17" s="23">
        <v>14</v>
      </c>
      <c r="B17" s="34" t="s">
        <v>44</v>
      </c>
      <c r="C17" s="35" t="s">
        <v>30</v>
      </c>
      <c r="D17" s="35"/>
      <c r="E17" s="35" t="s">
        <v>45</v>
      </c>
      <c r="F17" s="34" t="s">
        <v>32</v>
      </c>
      <c r="G17" s="35"/>
      <c r="H17" s="37">
        <v>17</v>
      </c>
      <c r="I17" s="36">
        <v>8500</v>
      </c>
      <c r="J17" s="36">
        <f>H17*I17</f>
        <v>144500</v>
      </c>
      <c r="K17" s="38">
        <f>K16+J17</f>
        <v>1588500</v>
      </c>
      <c r="L17" s="39"/>
      <c r="M17" s="33" t="s">
        <v>46</v>
      </c>
      <c r="N17" s="35"/>
      <c r="O17" s="34" t="s">
        <v>29</v>
      </c>
    </row>
    <row r="18" spans="1:15" customFormat="1" ht="16.5" customHeight="1" x14ac:dyDescent="0.4">
      <c r="A18" s="23">
        <v>15</v>
      </c>
      <c r="B18" s="34" t="s">
        <v>47</v>
      </c>
      <c r="C18" s="35" t="s">
        <v>26</v>
      </c>
      <c r="D18" s="35"/>
      <c r="E18" s="35" t="s">
        <v>27</v>
      </c>
      <c r="F18" s="34" t="s">
        <v>28</v>
      </c>
      <c r="G18" s="35"/>
      <c r="H18" s="37">
        <v>1</v>
      </c>
      <c r="I18" s="36">
        <v>25000</v>
      </c>
      <c r="J18" s="36">
        <f>H18*I18</f>
        <v>25000</v>
      </c>
      <c r="K18" s="38">
        <f>K17+J18</f>
        <v>1613500</v>
      </c>
      <c r="L18" s="39"/>
      <c r="M18" s="33"/>
      <c r="N18" s="35"/>
      <c r="O18" s="34" t="s">
        <v>29</v>
      </c>
    </row>
    <row r="19" spans="1:15" customFormat="1" ht="16.5" customHeight="1" x14ac:dyDescent="0.4">
      <c r="A19" s="23">
        <v>16</v>
      </c>
      <c r="B19" s="34" t="s">
        <v>47</v>
      </c>
      <c r="C19" s="35" t="s">
        <v>30</v>
      </c>
      <c r="D19" s="35"/>
      <c r="E19" s="35" t="s">
        <v>43</v>
      </c>
      <c r="F19" s="34" t="s">
        <v>32</v>
      </c>
      <c r="G19" s="35"/>
      <c r="H19" s="37">
        <v>3</v>
      </c>
      <c r="I19" s="36">
        <v>28000</v>
      </c>
      <c r="J19" s="36">
        <f>H19*I19</f>
        <v>84000</v>
      </c>
      <c r="K19" s="38">
        <f>K18+J19</f>
        <v>1697500</v>
      </c>
      <c r="L19" s="39"/>
      <c r="M19" s="33" t="s">
        <v>37</v>
      </c>
      <c r="N19" s="35"/>
      <c r="O19" s="34" t="s">
        <v>29</v>
      </c>
    </row>
    <row r="20" spans="1:15" customFormat="1" ht="16.5" customHeight="1" x14ac:dyDescent="0.4">
      <c r="A20" s="23">
        <v>17</v>
      </c>
      <c r="B20" s="34" t="s">
        <v>48</v>
      </c>
      <c r="C20" s="35" t="s">
        <v>26</v>
      </c>
      <c r="D20" s="35"/>
      <c r="E20" s="35" t="s">
        <v>27</v>
      </c>
      <c r="F20" s="34" t="s">
        <v>28</v>
      </c>
      <c r="G20" s="35"/>
      <c r="H20" s="37">
        <v>1</v>
      </c>
      <c r="I20" s="36">
        <v>25000</v>
      </c>
      <c r="J20" s="36">
        <f>H20*I20</f>
        <v>25000</v>
      </c>
      <c r="K20" s="38">
        <f>K19+J20</f>
        <v>1722500</v>
      </c>
      <c r="L20" s="39"/>
      <c r="M20" s="33"/>
      <c r="N20" s="35"/>
      <c r="O20" s="34" t="s">
        <v>29</v>
      </c>
    </row>
    <row r="21" spans="1:15" customFormat="1" ht="16.5" customHeight="1" x14ac:dyDescent="0.4">
      <c r="A21" s="23">
        <v>18</v>
      </c>
      <c r="B21" s="34" t="s">
        <v>48</v>
      </c>
      <c r="C21" s="35" t="s">
        <v>30</v>
      </c>
      <c r="D21" s="35"/>
      <c r="E21" s="35" t="s">
        <v>49</v>
      </c>
      <c r="F21" s="34" t="s">
        <v>32</v>
      </c>
      <c r="G21" s="35"/>
      <c r="H21" s="37">
        <v>1</v>
      </c>
      <c r="I21" s="36">
        <v>28000</v>
      </c>
      <c r="J21" s="36">
        <f>H21*I21</f>
        <v>28000</v>
      </c>
      <c r="K21" s="38">
        <f>K20+J21</f>
        <v>1750500</v>
      </c>
      <c r="L21" s="39"/>
      <c r="M21" s="33" t="s">
        <v>37</v>
      </c>
      <c r="N21" s="35"/>
      <c r="O21" s="34" t="s">
        <v>29</v>
      </c>
    </row>
    <row r="22" spans="1:15" customFormat="1" ht="16.5" customHeight="1" x14ac:dyDescent="0.4">
      <c r="A22" s="23">
        <v>19</v>
      </c>
      <c r="B22" s="34" t="s">
        <v>50</v>
      </c>
      <c r="C22" s="35" t="s">
        <v>26</v>
      </c>
      <c r="D22" s="35"/>
      <c r="E22" s="35" t="s">
        <v>27</v>
      </c>
      <c r="F22" s="34" t="s">
        <v>28</v>
      </c>
      <c r="G22" s="35"/>
      <c r="H22" s="37">
        <v>1</v>
      </c>
      <c r="I22" s="36">
        <v>25000</v>
      </c>
      <c r="J22" s="36">
        <f>H22*I22</f>
        <v>25000</v>
      </c>
      <c r="K22" s="38">
        <f>K21+J22</f>
        <v>1775500</v>
      </c>
      <c r="L22" s="39"/>
      <c r="M22" s="33"/>
      <c r="N22" s="35"/>
      <c r="O22" s="34" t="s">
        <v>29</v>
      </c>
    </row>
    <row r="23" spans="1:15" customFormat="1" ht="16.5" customHeight="1" x14ac:dyDescent="0.4">
      <c r="A23" s="23">
        <v>20</v>
      </c>
      <c r="B23" s="34" t="s">
        <v>50</v>
      </c>
      <c r="C23" s="35" t="s">
        <v>30</v>
      </c>
      <c r="D23" s="35"/>
      <c r="E23" s="35" t="s">
        <v>36</v>
      </c>
      <c r="F23" s="34" t="s">
        <v>32</v>
      </c>
      <c r="G23" s="35"/>
      <c r="H23" s="37">
        <v>3</v>
      </c>
      <c r="I23" s="36">
        <v>28000</v>
      </c>
      <c r="J23" s="36">
        <f>H23*I23</f>
        <v>84000</v>
      </c>
      <c r="K23" s="38">
        <f>K22+J23</f>
        <v>1859500</v>
      </c>
      <c r="L23" s="39"/>
      <c r="M23" s="33" t="s">
        <v>51</v>
      </c>
      <c r="N23" s="35"/>
      <c r="O23" s="34" t="s">
        <v>29</v>
      </c>
    </row>
    <row r="24" spans="1:15" customFormat="1" ht="16.5" customHeight="1" x14ac:dyDescent="0.4">
      <c r="A24" s="23">
        <v>21</v>
      </c>
      <c r="B24" s="34" t="s">
        <v>52</v>
      </c>
      <c r="C24" s="35" t="s">
        <v>26</v>
      </c>
      <c r="D24" s="35"/>
      <c r="E24" s="35" t="s">
        <v>27</v>
      </c>
      <c r="F24" s="34" t="s">
        <v>28</v>
      </c>
      <c r="G24" s="35"/>
      <c r="H24" s="37">
        <v>1</v>
      </c>
      <c r="I24" s="36">
        <v>25000</v>
      </c>
      <c r="J24" s="36">
        <f>H24*I24</f>
        <v>25000</v>
      </c>
      <c r="K24" s="38">
        <f>K23+J24</f>
        <v>1884500</v>
      </c>
      <c r="L24" s="39"/>
      <c r="M24" s="33"/>
      <c r="N24" s="35"/>
      <c r="O24" s="34" t="s">
        <v>29</v>
      </c>
    </row>
    <row r="25" spans="1:15" customFormat="1" ht="16.5" customHeight="1" x14ac:dyDescent="0.4">
      <c r="A25" s="23">
        <v>22</v>
      </c>
      <c r="B25" s="34" t="s">
        <v>52</v>
      </c>
      <c r="C25" s="35" t="s">
        <v>30</v>
      </c>
      <c r="D25" s="35"/>
      <c r="E25" s="35" t="s">
        <v>36</v>
      </c>
      <c r="F25" s="34" t="s">
        <v>32</v>
      </c>
      <c r="G25" s="35"/>
      <c r="H25" s="37">
        <v>3</v>
      </c>
      <c r="I25" s="36">
        <v>28000</v>
      </c>
      <c r="J25" s="36">
        <f>H25*I25</f>
        <v>84000</v>
      </c>
      <c r="K25" s="38">
        <f>K24+J25</f>
        <v>1968500</v>
      </c>
      <c r="L25" s="39"/>
      <c r="M25" s="33" t="s">
        <v>51</v>
      </c>
      <c r="N25" s="35"/>
      <c r="O25" s="34" t="s">
        <v>29</v>
      </c>
    </row>
    <row r="26" spans="1:15" customFormat="1" ht="16.5" customHeight="1" x14ac:dyDescent="0.4">
      <c r="A26" s="23">
        <v>23</v>
      </c>
      <c r="B26" s="34" t="s">
        <v>53</v>
      </c>
      <c r="C26" s="35" t="s">
        <v>26</v>
      </c>
      <c r="D26" s="35"/>
      <c r="E26" s="35" t="s">
        <v>27</v>
      </c>
      <c r="F26" s="34" t="s">
        <v>28</v>
      </c>
      <c r="G26" s="35"/>
      <c r="H26" s="37">
        <v>1</v>
      </c>
      <c r="I26" s="36">
        <v>25000</v>
      </c>
      <c r="J26" s="36">
        <f>H26*I26</f>
        <v>25000</v>
      </c>
      <c r="K26" s="38">
        <f>K25+J26</f>
        <v>1993500</v>
      </c>
      <c r="L26" s="39"/>
      <c r="M26" s="33"/>
      <c r="N26" s="35"/>
      <c r="O26" s="34" t="s">
        <v>29</v>
      </c>
    </row>
    <row r="27" spans="1:15" customFormat="1" ht="16.5" customHeight="1" x14ac:dyDescent="0.4">
      <c r="A27" s="23">
        <v>24</v>
      </c>
      <c r="B27" s="34" t="s">
        <v>53</v>
      </c>
      <c r="C27" s="35" t="s">
        <v>30</v>
      </c>
      <c r="D27" s="35"/>
      <c r="E27" s="35" t="s">
        <v>40</v>
      </c>
      <c r="F27" s="34" t="s">
        <v>32</v>
      </c>
      <c r="G27" s="35"/>
      <c r="H27" s="37">
        <v>16</v>
      </c>
      <c r="I27" s="36">
        <v>14000</v>
      </c>
      <c r="J27" s="36">
        <f>H27*I27</f>
        <v>224000</v>
      </c>
      <c r="K27" s="38">
        <f>K26+J27</f>
        <v>2217500</v>
      </c>
      <c r="L27" s="39"/>
      <c r="M27" s="33" t="s">
        <v>54</v>
      </c>
      <c r="N27" s="35"/>
      <c r="O27" s="34" t="s">
        <v>29</v>
      </c>
    </row>
    <row r="28" spans="1:15" customFormat="1" ht="16.5" customHeight="1" x14ac:dyDescent="0.4">
      <c r="A28" s="23">
        <v>25</v>
      </c>
      <c r="B28" s="34" t="s">
        <v>53</v>
      </c>
      <c r="C28" s="35" t="s">
        <v>30</v>
      </c>
      <c r="D28" s="35"/>
      <c r="E28" s="35" t="s">
        <v>49</v>
      </c>
      <c r="F28" s="34" t="s">
        <v>32</v>
      </c>
      <c r="G28" s="35"/>
      <c r="H28" s="37">
        <v>1</v>
      </c>
      <c r="I28" s="36">
        <v>28000</v>
      </c>
      <c r="J28" s="36">
        <f>H28*I28</f>
        <v>28000</v>
      </c>
      <c r="K28" s="38">
        <f>K27+J28</f>
        <v>2245500</v>
      </c>
      <c r="L28" s="39"/>
      <c r="M28" s="33" t="s">
        <v>51</v>
      </c>
      <c r="N28" s="35"/>
      <c r="O28" s="34" t="s">
        <v>29</v>
      </c>
    </row>
    <row r="29" spans="1:15" customFormat="1" ht="16.5" customHeight="1" x14ac:dyDescent="0.4">
      <c r="A29" s="23">
        <v>26</v>
      </c>
      <c r="B29" s="34" t="s">
        <v>55</v>
      </c>
      <c r="C29" s="35" t="s">
        <v>26</v>
      </c>
      <c r="D29" s="35"/>
      <c r="E29" s="35" t="s">
        <v>27</v>
      </c>
      <c r="F29" s="34" t="s">
        <v>28</v>
      </c>
      <c r="G29" s="35"/>
      <c r="H29" s="37">
        <v>1</v>
      </c>
      <c r="I29" s="36">
        <v>25000</v>
      </c>
      <c r="J29" s="36">
        <f>H29*I29</f>
        <v>25000</v>
      </c>
      <c r="K29" s="38">
        <f>K28+J29</f>
        <v>2270500</v>
      </c>
      <c r="L29" s="39"/>
      <c r="M29" s="33"/>
      <c r="N29" s="35"/>
      <c r="O29" s="34" t="s">
        <v>29</v>
      </c>
    </row>
    <row r="30" spans="1:15" customFormat="1" ht="16.5" customHeight="1" x14ac:dyDescent="0.4">
      <c r="A30" s="23">
        <v>27</v>
      </c>
      <c r="B30" s="34" t="s">
        <v>55</v>
      </c>
      <c r="C30" s="35" t="s">
        <v>30</v>
      </c>
      <c r="D30" s="35"/>
      <c r="E30" s="35" t="s">
        <v>43</v>
      </c>
      <c r="F30" s="34" t="s">
        <v>32</v>
      </c>
      <c r="G30" s="35"/>
      <c r="H30" s="37">
        <v>3</v>
      </c>
      <c r="I30" s="36">
        <v>28000</v>
      </c>
      <c r="J30" s="36">
        <f>H30*I30</f>
        <v>84000</v>
      </c>
      <c r="K30" s="38">
        <f>K29+J30</f>
        <v>2354500</v>
      </c>
      <c r="L30" s="39"/>
      <c r="M30" s="33" t="s">
        <v>56</v>
      </c>
      <c r="N30" s="35"/>
      <c r="O30" s="34" t="s">
        <v>29</v>
      </c>
    </row>
    <row r="31" spans="1:15" customFormat="1" ht="16.5" customHeight="1" x14ac:dyDescent="0.4">
      <c r="A31" s="23">
        <v>28</v>
      </c>
      <c r="B31" s="34" t="s">
        <v>57</v>
      </c>
      <c r="C31" s="35" t="s">
        <v>26</v>
      </c>
      <c r="D31" s="35"/>
      <c r="E31" s="35" t="s">
        <v>27</v>
      </c>
      <c r="F31" s="34" t="s">
        <v>28</v>
      </c>
      <c r="G31" s="35"/>
      <c r="H31" s="37">
        <v>1</v>
      </c>
      <c r="I31" s="36">
        <v>25000</v>
      </c>
      <c r="J31" s="36">
        <f>H31*I31</f>
        <v>25000</v>
      </c>
      <c r="K31" s="38">
        <f>K30+J31</f>
        <v>2379500</v>
      </c>
      <c r="L31" s="39"/>
      <c r="M31" s="33"/>
      <c r="N31" s="35"/>
      <c r="O31" s="34" t="s">
        <v>29</v>
      </c>
    </row>
    <row r="32" spans="1:15" customFormat="1" ht="16.5" customHeight="1" x14ac:dyDescent="0.4">
      <c r="A32" s="23">
        <v>29</v>
      </c>
      <c r="B32" s="34" t="s">
        <v>57</v>
      </c>
      <c r="C32" s="35" t="s">
        <v>30</v>
      </c>
      <c r="D32" s="35"/>
      <c r="E32" s="35" t="s">
        <v>49</v>
      </c>
      <c r="F32" s="34" t="s">
        <v>32</v>
      </c>
      <c r="G32" s="35"/>
      <c r="H32" s="37">
        <v>3</v>
      </c>
      <c r="I32" s="36">
        <v>28000</v>
      </c>
      <c r="J32" s="36">
        <f>H32*I32</f>
        <v>84000</v>
      </c>
      <c r="K32" s="38">
        <f>K31+J32</f>
        <v>2463500</v>
      </c>
      <c r="L32" s="39"/>
      <c r="M32" s="33" t="s">
        <v>56</v>
      </c>
      <c r="N32" s="35"/>
      <c r="O32" s="34" t="s">
        <v>29</v>
      </c>
    </row>
    <row r="33" spans="1:15" customFormat="1" ht="16.5" customHeight="1" x14ac:dyDescent="0.4">
      <c r="A33" s="23"/>
      <c r="B33" s="46" t="s">
        <v>9</v>
      </c>
      <c r="C33" s="46"/>
      <c r="D33" s="46"/>
      <c r="E33" s="46"/>
      <c r="F33" s="46"/>
      <c r="G33" s="46"/>
      <c r="H33" s="46"/>
      <c r="I33" s="46"/>
      <c r="J33" s="7">
        <f>SUM(J4:J32)</f>
        <v>2463500</v>
      </c>
      <c r="K33" s="7"/>
      <c r="L33" s="7"/>
      <c r="M33" s="28"/>
      <c r="N33" s="3"/>
      <c r="O33" s="6"/>
    </row>
    <row r="34" spans="1:15" customFormat="1" ht="16.5" customHeight="1" thickBot="1" x14ac:dyDescent="0.45">
      <c r="A34" s="24"/>
      <c r="B34" s="47" t="s">
        <v>10</v>
      </c>
      <c r="C34" s="47"/>
      <c r="D34" s="47"/>
      <c r="E34" s="47"/>
      <c r="F34" s="47"/>
      <c r="G34" s="47"/>
      <c r="H34" s="47"/>
      <c r="I34" s="47"/>
      <c r="J34" s="8">
        <v>0</v>
      </c>
      <c r="K34" s="26">
        <f>J34+J33</f>
        <v>2463500</v>
      </c>
      <c r="L34" s="8"/>
      <c r="M34" s="29"/>
      <c r="N34" s="9"/>
      <c r="O34" s="10"/>
    </row>
    <row r="35" spans="1:15" ht="22.5" customHeight="1" thickBot="1" x14ac:dyDescent="0.45">
      <c r="A35" s="43" t="s">
        <v>20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5"/>
    </row>
    <row r="37" spans="1:15" ht="30" x14ac:dyDescent="0.4">
      <c r="B37" s="40" t="s">
        <v>21</v>
      </c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</row>
    <row r="38" spans="1:15" ht="18" thickBot="1" x14ac:dyDescent="0.45"/>
    <row r="39" spans="1:15" x14ac:dyDescent="0.4">
      <c r="J39" s="11" t="s">
        <v>4</v>
      </c>
      <c r="K39" s="16">
        <f>J34</f>
        <v>0</v>
      </c>
    </row>
    <row r="40" spans="1:15" x14ac:dyDescent="0.4">
      <c r="J40" s="12" t="s">
        <v>5</v>
      </c>
      <c r="K40" s="17">
        <f>J33</f>
        <v>2463500</v>
      </c>
    </row>
    <row r="41" spans="1:15" ht="18" thickBot="1" x14ac:dyDescent="0.45">
      <c r="J41" s="13" t="s">
        <v>6</v>
      </c>
      <c r="K41" s="25">
        <f>K39+K40</f>
        <v>2463500</v>
      </c>
    </row>
    <row r="42" spans="1:15" ht="18" thickBot="1" x14ac:dyDescent="0.45"/>
    <row r="43" spans="1:15" x14ac:dyDescent="0.4">
      <c r="J43" s="14" t="s">
        <v>7</v>
      </c>
      <c r="K43" s="16">
        <v>0</v>
      </c>
    </row>
    <row r="44" spans="1:15" ht="18" thickBot="1" x14ac:dyDescent="0.45">
      <c r="J44" s="15" t="s">
        <v>8</v>
      </c>
      <c r="K44" s="18">
        <f>K40-K43-K45</f>
        <v>2463500</v>
      </c>
    </row>
  </sheetData>
  <autoFilter ref="B3:O35" xr:uid="{00000000-0001-0000-0000-000000000000}"/>
  <mergeCells count="6">
    <mergeCell ref="B37:O37"/>
    <mergeCell ref="A1:O1"/>
    <mergeCell ref="A2:O2"/>
    <mergeCell ref="A35:O35"/>
    <mergeCell ref="B33:I33"/>
    <mergeCell ref="B34:I34"/>
  </mergeCells>
  <phoneticPr fontId="1" type="noConversion"/>
  <pageMargins left="0.27559055118110237" right="0.11811023622047245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원장</vt:lpstr>
      <vt:lpstr>원장!Print_Titles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태성푸드메인</dc:creator>
  <cp:lastModifiedBy>태성푸드메인</cp:lastModifiedBy>
  <cp:lastPrinted>2015-01-29T06:00:14Z</cp:lastPrinted>
  <dcterms:created xsi:type="dcterms:W3CDTF">2014-05-01T06:13:05Z</dcterms:created>
  <dcterms:modified xsi:type="dcterms:W3CDTF">2025-12-29T10:30:46Z</dcterms:modified>
</cp:coreProperties>
</file>