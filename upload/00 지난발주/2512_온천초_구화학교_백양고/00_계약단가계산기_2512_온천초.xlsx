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3265" yWindow="-21510" windowWidth="27090" windowHeight="20790"/>
  </bookViews>
  <sheets>
    <sheet name="합계" sheetId="4" r:id="rId1"/>
    <sheet name="1" sheetId="1" r:id="rId2"/>
    <sheet name="2" sheetId="3" r:id="rId3"/>
    <sheet name="3" sheetId="5" r:id="rId4"/>
    <sheet name="4" sheetId="6" r:id="rId5"/>
  </sheets>
  <calcPr calcId="144525"/>
</workbook>
</file>

<file path=xl/calcChain.xml><?xml version="1.0" encoding="utf-8"?>
<calcChain xmlns="http://schemas.openxmlformats.org/spreadsheetml/2006/main">
  <c r="F23" i="4" l="1"/>
  <c r="B5" i="4" l="1"/>
  <c r="B4" i="4"/>
  <c r="B3" i="4"/>
  <c r="B2" i="4"/>
  <c r="D5" i="6"/>
  <c r="C6" i="6"/>
  <c r="D10" i="6"/>
  <c r="C11" i="6"/>
  <c r="C12" i="6"/>
  <c r="C13" i="6"/>
  <c r="D13" i="6" s="1"/>
  <c r="H28" i="6"/>
  <c r="C5" i="4"/>
  <c r="C4" i="4"/>
  <c r="C3" i="4"/>
  <c r="B22" i="4"/>
  <c r="B42" i="6"/>
  <c r="B41" i="6"/>
  <c r="B40" i="6"/>
  <c r="B39" i="6"/>
  <c r="B38" i="6"/>
  <c r="B37" i="6"/>
  <c r="B36" i="6"/>
  <c r="B35" i="6"/>
  <c r="B34" i="6"/>
  <c r="B33" i="6"/>
  <c r="K32" i="6"/>
  <c r="E5" i="4" s="1"/>
  <c r="H31" i="6"/>
  <c r="K30" i="6"/>
  <c r="I30" i="6"/>
  <c r="H30" i="6"/>
  <c r="I29" i="6"/>
  <c r="K29" i="6" s="1"/>
  <c r="H29" i="6"/>
  <c r="I28" i="6"/>
  <c r="K28" i="6" s="1"/>
  <c r="I27" i="6"/>
  <c r="K27" i="6" s="1"/>
  <c r="H27" i="6"/>
  <c r="K26" i="6"/>
  <c r="I26" i="6"/>
  <c r="H26" i="6"/>
  <c r="I25" i="6"/>
  <c r="K25" i="6" s="1"/>
  <c r="H25" i="6"/>
  <c r="K24" i="6"/>
  <c r="I24" i="6"/>
  <c r="H24" i="6"/>
  <c r="I23" i="6"/>
  <c r="K23" i="6" s="1"/>
  <c r="H23" i="6"/>
  <c r="K22" i="6"/>
  <c r="I22" i="6"/>
  <c r="H22" i="6"/>
  <c r="I21" i="6"/>
  <c r="K21" i="6" s="1"/>
  <c r="H21" i="6"/>
  <c r="I20" i="6"/>
  <c r="K20" i="6" s="1"/>
  <c r="H20" i="6"/>
  <c r="D20" i="6"/>
  <c r="I19" i="6"/>
  <c r="K19" i="6" s="1"/>
  <c r="H19" i="6"/>
  <c r="D19" i="6"/>
  <c r="I18" i="6"/>
  <c r="K18" i="6" s="1"/>
  <c r="H18" i="6"/>
  <c r="D18" i="6"/>
  <c r="I17" i="6"/>
  <c r="K17" i="6" s="1"/>
  <c r="H17" i="6"/>
  <c r="D17" i="6"/>
  <c r="K16" i="6"/>
  <c r="H16" i="6"/>
  <c r="D16" i="6"/>
  <c r="K15" i="6"/>
  <c r="H15" i="6"/>
  <c r="D15" i="6"/>
  <c r="K14" i="6"/>
  <c r="H14" i="6"/>
  <c r="D14" i="6"/>
  <c r="K13" i="6"/>
  <c r="H13" i="6"/>
  <c r="K12" i="6"/>
  <c r="H12" i="6"/>
  <c r="D12" i="6"/>
  <c r="K11" i="6"/>
  <c r="H11" i="6"/>
  <c r="D11" i="6"/>
  <c r="K10" i="6"/>
  <c r="H10" i="6"/>
  <c r="K9" i="6"/>
  <c r="H9" i="6"/>
  <c r="D9" i="6"/>
  <c r="K8" i="6"/>
  <c r="H8" i="6"/>
  <c r="D8" i="6"/>
  <c r="K7" i="6"/>
  <c r="H7" i="6"/>
  <c r="D7" i="6"/>
  <c r="K6" i="6"/>
  <c r="H6" i="6"/>
  <c r="D6" i="6"/>
  <c r="K5" i="6"/>
  <c r="H5" i="6"/>
  <c r="K4" i="6"/>
  <c r="H4" i="6"/>
  <c r="D4" i="6"/>
  <c r="K3" i="6"/>
  <c r="H3" i="6"/>
  <c r="D3" i="6"/>
  <c r="K2" i="6"/>
  <c r="H2" i="6"/>
  <c r="D2" i="6"/>
  <c r="B42" i="5"/>
  <c r="B41" i="5"/>
  <c r="B40" i="5"/>
  <c r="B39" i="5"/>
  <c r="B38" i="5"/>
  <c r="B37" i="5"/>
  <c r="B36" i="5"/>
  <c r="B35" i="5"/>
  <c r="B34" i="5"/>
  <c r="B33" i="5"/>
  <c r="K32" i="5"/>
  <c r="E4" i="4" s="1"/>
  <c r="H31" i="5"/>
  <c r="I30" i="5"/>
  <c r="K30" i="5" s="1"/>
  <c r="H30" i="5"/>
  <c r="I29" i="5"/>
  <c r="K29" i="5" s="1"/>
  <c r="H29" i="5"/>
  <c r="I28" i="5"/>
  <c r="K28" i="5" s="1"/>
  <c r="H28" i="5"/>
  <c r="I27" i="5"/>
  <c r="K27" i="5" s="1"/>
  <c r="H27" i="5"/>
  <c r="I26" i="5"/>
  <c r="K26" i="5" s="1"/>
  <c r="H26" i="5"/>
  <c r="I25" i="5"/>
  <c r="K25" i="5" s="1"/>
  <c r="H25" i="5"/>
  <c r="I24" i="5"/>
  <c r="K24" i="5" s="1"/>
  <c r="H24" i="5"/>
  <c r="I23" i="5"/>
  <c r="K23" i="5" s="1"/>
  <c r="H23" i="5"/>
  <c r="I22" i="5"/>
  <c r="K22" i="5" s="1"/>
  <c r="H22" i="5"/>
  <c r="K21" i="5"/>
  <c r="I21" i="5"/>
  <c r="H21" i="5"/>
  <c r="I20" i="5"/>
  <c r="K20" i="5" s="1"/>
  <c r="H20" i="5"/>
  <c r="D20" i="5"/>
  <c r="I19" i="5"/>
  <c r="K19" i="5" s="1"/>
  <c r="H19" i="5"/>
  <c r="D19" i="5"/>
  <c r="I18" i="5"/>
  <c r="K18" i="5" s="1"/>
  <c r="H18" i="5"/>
  <c r="D18" i="5"/>
  <c r="I17" i="5"/>
  <c r="K17" i="5" s="1"/>
  <c r="H17" i="5"/>
  <c r="D17" i="5"/>
  <c r="I16" i="5"/>
  <c r="K16" i="5" s="1"/>
  <c r="H16" i="5"/>
  <c r="D16" i="5"/>
  <c r="I15" i="5"/>
  <c r="K15" i="5" s="1"/>
  <c r="H15" i="5"/>
  <c r="D15" i="5"/>
  <c r="I14" i="5"/>
  <c r="K14" i="5" s="1"/>
  <c r="H14" i="5"/>
  <c r="D14" i="5"/>
  <c r="I13" i="5"/>
  <c r="K13" i="5" s="1"/>
  <c r="H13" i="5"/>
  <c r="D13" i="5"/>
  <c r="I12" i="5"/>
  <c r="K12" i="5" s="1"/>
  <c r="H12" i="5"/>
  <c r="D12" i="5"/>
  <c r="I11" i="5"/>
  <c r="K11" i="5" s="1"/>
  <c r="H11" i="5"/>
  <c r="D11" i="5"/>
  <c r="I10" i="5"/>
  <c r="K10" i="5" s="1"/>
  <c r="H10" i="5"/>
  <c r="D10" i="5"/>
  <c r="I9" i="5"/>
  <c r="K9" i="5" s="1"/>
  <c r="H9" i="5"/>
  <c r="D9" i="5"/>
  <c r="I8" i="5"/>
  <c r="K8" i="5" s="1"/>
  <c r="H8" i="5"/>
  <c r="D8" i="5"/>
  <c r="I7" i="5"/>
  <c r="K7" i="5" s="1"/>
  <c r="H7" i="5"/>
  <c r="D7" i="5"/>
  <c r="I6" i="5"/>
  <c r="K6" i="5" s="1"/>
  <c r="H6" i="5"/>
  <c r="D6" i="5"/>
  <c r="I5" i="5"/>
  <c r="K5" i="5" s="1"/>
  <c r="H5" i="5"/>
  <c r="D5" i="5"/>
  <c r="I4" i="5"/>
  <c r="K4" i="5" s="1"/>
  <c r="H4" i="5"/>
  <c r="D4" i="5"/>
  <c r="I3" i="5"/>
  <c r="K3" i="5" s="1"/>
  <c r="H3" i="5"/>
  <c r="D3" i="5"/>
  <c r="I2" i="5"/>
  <c r="K2" i="5" s="1"/>
  <c r="H2" i="5"/>
  <c r="D2" i="5"/>
  <c r="C2" i="4"/>
  <c r="B42" i="3"/>
  <c r="B41" i="3"/>
  <c r="B40" i="3"/>
  <c r="B39" i="3"/>
  <c r="B38" i="3"/>
  <c r="B37" i="3"/>
  <c r="B36" i="3"/>
  <c r="B35" i="3"/>
  <c r="B34" i="3"/>
  <c r="B33" i="3"/>
  <c r="K32" i="3"/>
  <c r="E3" i="4" s="1"/>
  <c r="H31" i="3"/>
  <c r="I30" i="3"/>
  <c r="K30" i="3" s="1"/>
  <c r="H30" i="3"/>
  <c r="K29" i="3"/>
  <c r="I29" i="3"/>
  <c r="H29" i="3"/>
  <c r="I28" i="3"/>
  <c r="K28" i="3" s="1"/>
  <c r="H28" i="3"/>
  <c r="I27" i="3"/>
  <c r="K27" i="3" s="1"/>
  <c r="H27" i="3"/>
  <c r="I26" i="3"/>
  <c r="K26" i="3" s="1"/>
  <c r="H26" i="3"/>
  <c r="K25" i="3"/>
  <c r="I25" i="3"/>
  <c r="H25" i="3"/>
  <c r="I24" i="3"/>
  <c r="K24" i="3" s="1"/>
  <c r="H24" i="3"/>
  <c r="I23" i="3"/>
  <c r="K23" i="3" s="1"/>
  <c r="H23" i="3"/>
  <c r="I22" i="3"/>
  <c r="K22" i="3" s="1"/>
  <c r="H22" i="3"/>
  <c r="K21" i="3"/>
  <c r="I21" i="3"/>
  <c r="H21" i="3"/>
  <c r="I20" i="3"/>
  <c r="K20" i="3" s="1"/>
  <c r="H20" i="3"/>
  <c r="D20" i="3"/>
  <c r="I19" i="3"/>
  <c r="K19" i="3" s="1"/>
  <c r="H19" i="3"/>
  <c r="D19" i="3"/>
  <c r="I18" i="3"/>
  <c r="K18" i="3" s="1"/>
  <c r="H18" i="3"/>
  <c r="D18" i="3"/>
  <c r="I17" i="3"/>
  <c r="K17" i="3" s="1"/>
  <c r="H17" i="3"/>
  <c r="D17" i="3"/>
  <c r="I16" i="3"/>
  <c r="K16" i="3" s="1"/>
  <c r="H16" i="3"/>
  <c r="D16" i="3"/>
  <c r="I15" i="3"/>
  <c r="K15" i="3" s="1"/>
  <c r="H15" i="3"/>
  <c r="D15" i="3"/>
  <c r="I14" i="3"/>
  <c r="K14" i="3" s="1"/>
  <c r="H14" i="3"/>
  <c r="D14" i="3"/>
  <c r="I13" i="3"/>
  <c r="K13" i="3" s="1"/>
  <c r="H13" i="3"/>
  <c r="D13" i="3"/>
  <c r="I12" i="3"/>
  <c r="K12" i="3" s="1"/>
  <c r="H12" i="3"/>
  <c r="I11" i="3"/>
  <c r="K11" i="3" s="1"/>
  <c r="H11" i="3"/>
  <c r="D11" i="3"/>
  <c r="K10" i="3"/>
  <c r="I10" i="3"/>
  <c r="H10" i="3"/>
  <c r="D10" i="3"/>
  <c r="I9" i="3"/>
  <c r="K9" i="3" s="1"/>
  <c r="H9" i="3"/>
  <c r="D9" i="3"/>
  <c r="I8" i="3"/>
  <c r="K8" i="3" s="1"/>
  <c r="H8" i="3"/>
  <c r="D8" i="3"/>
  <c r="I7" i="3"/>
  <c r="K7" i="3" s="1"/>
  <c r="H7" i="3"/>
  <c r="D7" i="3"/>
  <c r="I6" i="3"/>
  <c r="K6" i="3" s="1"/>
  <c r="H6" i="3"/>
  <c r="D6" i="3"/>
  <c r="K5" i="3"/>
  <c r="I5" i="3"/>
  <c r="H5" i="3"/>
  <c r="D5" i="3"/>
  <c r="I4" i="3"/>
  <c r="K4" i="3" s="1"/>
  <c r="H4" i="3"/>
  <c r="D4" i="3"/>
  <c r="I3" i="3"/>
  <c r="K3" i="3" s="1"/>
  <c r="H3" i="3"/>
  <c r="D3" i="3"/>
  <c r="I2" i="3"/>
  <c r="H2" i="3"/>
  <c r="D2" i="3"/>
  <c r="D20" i="1"/>
  <c r="D19" i="1"/>
  <c r="D18" i="1"/>
  <c r="D17" i="1"/>
  <c r="D16" i="1"/>
  <c r="K32" i="1"/>
  <c r="H31" i="1"/>
  <c r="K8" i="1"/>
  <c r="K9" i="1"/>
  <c r="K16" i="1"/>
  <c r="K17" i="1"/>
  <c r="K19" i="1"/>
  <c r="K21" i="1"/>
  <c r="K22" i="1"/>
  <c r="K23" i="1"/>
  <c r="K24" i="1"/>
  <c r="K25" i="1"/>
  <c r="K26" i="1"/>
  <c r="K27" i="1"/>
  <c r="K28" i="1"/>
  <c r="K29" i="1"/>
  <c r="K30" i="1"/>
  <c r="I3" i="1"/>
  <c r="K3" i="1" s="1"/>
  <c r="I4" i="1"/>
  <c r="K4" i="1" s="1"/>
  <c r="I5" i="1"/>
  <c r="K5" i="1" s="1"/>
  <c r="I6" i="1"/>
  <c r="K6" i="1" s="1"/>
  <c r="I7" i="1"/>
  <c r="K7" i="1" s="1"/>
  <c r="I8" i="1"/>
  <c r="I9" i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I17" i="1"/>
  <c r="I18" i="1"/>
  <c r="K18" i="1" s="1"/>
  <c r="I19" i="1"/>
  <c r="I20" i="1"/>
  <c r="K20" i="1" s="1"/>
  <c r="I21" i="1"/>
  <c r="I22" i="1"/>
  <c r="I23" i="1"/>
  <c r="I24" i="1"/>
  <c r="I25" i="1"/>
  <c r="I26" i="1"/>
  <c r="I27" i="1"/>
  <c r="I28" i="1"/>
  <c r="I29" i="1"/>
  <c r="I30" i="1"/>
  <c r="I2" i="1"/>
  <c r="K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  <c r="D15" i="1"/>
  <c r="D14" i="1"/>
  <c r="D13" i="1"/>
  <c r="B35" i="1"/>
  <c r="B36" i="1"/>
  <c r="B37" i="1"/>
  <c r="B38" i="1"/>
  <c r="B39" i="1"/>
  <c r="B40" i="1"/>
  <c r="B41" i="1"/>
  <c r="B42" i="1"/>
  <c r="B34" i="1"/>
  <c r="B33" i="1"/>
  <c r="D12" i="1"/>
  <c r="D11" i="1"/>
  <c r="D10" i="1"/>
  <c r="D9" i="1"/>
  <c r="D32" i="6" l="1"/>
  <c r="E32" i="6" s="1"/>
  <c r="E14" i="6" s="1"/>
  <c r="F14" i="6" s="1"/>
  <c r="D32" i="5"/>
  <c r="E32" i="5" s="1"/>
  <c r="E9" i="5" s="1"/>
  <c r="F9" i="5" s="1"/>
  <c r="E2" i="4"/>
  <c r="E22" i="4" s="1"/>
  <c r="C22" i="4"/>
  <c r="K31" i="6"/>
  <c r="K31" i="5"/>
  <c r="K2" i="3"/>
  <c r="K31" i="3" s="1"/>
  <c r="D32" i="3"/>
  <c r="E32" i="3" s="1"/>
  <c r="E13" i="3" s="1"/>
  <c r="F13" i="3" s="1"/>
  <c r="K31" i="1"/>
  <c r="D3" i="1"/>
  <c r="D4" i="1"/>
  <c r="D5" i="1"/>
  <c r="D6" i="1"/>
  <c r="D7" i="1"/>
  <c r="D8" i="1"/>
  <c r="D2" i="1"/>
  <c r="K33" i="6" l="1"/>
  <c r="F5" i="4" s="1"/>
  <c r="G5" i="4" s="1"/>
  <c r="H5" i="4" s="1"/>
  <c r="H22" i="4" s="1"/>
  <c r="I22" i="4" s="1"/>
  <c r="D5" i="4"/>
  <c r="E10" i="6"/>
  <c r="F10" i="6" s="1"/>
  <c r="C34" i="6"/>
  <c r="E9" i="6"/>
  <c r="F9" i="6" s="1"/>
  <c r="E19" i="6"/>
  <c r="F19" i="6" s="1"/>
  <c r="E4" i="6"/>
  <c r="F4" i="6" s="1"/>
  <c r="K33" i="5"/>
  <c r="F4" i="4" s="1"/>
  <c r="G4" i="4" s="1"/>
  <c r="H4" i="4" s="1"/>
  <c r="D4" i="4"/>
  <c r="E8" i="6"/>
  <c r="F8" i="6" s="1"/>
  <c r="E16" i="6"/>
  <c r="F16" i="6" s="1"/>
  <c r="E17" i="6"/>
  <c r="F17" i="6" s="1"/>
  <c r="E18" i="6"/>
  <c r="F18" i="6" s="1"/>
  <c r="E7" i="6"/>
  <c r="F7" i="6" s="1"/>
  <c r="E12" i="6"/>
  <c r="F12" i="6" s="1"/>
  <c r="E13" i="6"/>
  <c r="F13" i="6" s="1"/>
  <c r="E6" i="6"/>
  <c r="F6" i="6" s="1"/>
  <c r="E20" i="6"/>
  <c r="F20" i="6" s="1"/>
  <c r="C33" i="6"/>
  <c r="E15" i="6"/>
  <c r="F15" i="6" s="1"/>
  <c r="E2" i="6"/>
  <c r="F2" i="6" s="1"/>
  <c r="E3" i="6"/>
  <c r="F3" i="6" s="1"/>
  <c r="C36" i="6"/>
  <c r="E5" i="6"/>
  <c r="F5" i="6" s="1"/>
  <c r="E11" i="6"/>
  <c r="F11" i="6" s="1"/>
  <c r="C35" i="6"/>
  <c r="K33" i="3"/>
  <c r="K34" i="3" s="1"/>
  <c r="K35" i="3" s="1"/>
  <c r="D3" i="4"/>
  <c r="D2" i="4"/>
  <c r="K33" i="1"/>
  <c r="F2" i="4" s="1"/>
  <c r="G2" i="4" s="1"/>
  <c r="H2" i="4" s="1"/>
  <c r="E3" i="5"/>
  <c r="F3" i="5" s="1"/>
  <c r="E18" i="5"/>
  <c r="F18" i="5" s="1"/>
  <c r="E17" i="5"/>
  <c r="F17" i="5" s="1"/>
  <c r="E10" i="5"/>
  <c r="F10" i="5" s="1"/>
  <c r="E4" i="5"/>
  <c r="F4" i="5" s="1"/>
  <c r="E13" i="5"/>
  <c r="F13" i="5" s="1"/>
  <c r="E14" i="5"/>
  <c r="F14" i="5" s="1"/>
  <c r="E6" i="5"/>
  <c r="F6" i="5" s="1"/>
  <c r="E19" i="5"/>
  <c r="F19" i="5" s="1"/>
  <c r="E11" i="5"/>
  <c r="F11" i="5" s="1"/>
  <c r="E20" i="5"/>
  <c r="F20" i="5" s="1"/>
  <c r="E16" i="5"/>
  <c r="F16" i="5" s="1"/>
  <c r="E12" i="5"/>
  <c r="F12" i="5" s="1"/>
  <c r="E2" i="5"/>
  <c r="F2" i="5" s="1"/>
  <c r="E8" i="5"/>
  <c r="F8" i="5" s="1"/>
  <c r="C34" i="5"/>
  <c r="C35" i="5"/>
  <c r="C33" i="5"/>
  <c r="E15" i="5"/>
  <c r="F15" i="5" s="1"/>
  <c r="C36" i="5"/>
  <c r="E7" i="5"/>
  <c r="F7" i="5" s="1"/>
  <c r="E5" i="5"/>
  <c r="F5" i="5" s="1"/>
  <c r="E2" i="3"/>
  <c r="F2" i="3" s="1"/>
  <c r="E18" i="3"/>
  <c r="F18" i="3" s="1"/>
  <c r="E9" i="3"/>
  <c r="F9" i="3" s="1"/>
  <c r="E14" i="3"/>
  <c r="F14" i="3" s="1"/>
  <c r="E20" i="3"/>
  <c r="F20" i="3" s="1"/>
  <c r="E16" i="3"/>
  <c r="F16" i="3" s="1"/>
  <c r="E12" i="3"/>
  <c r="F12" i="3" s="1"/>
  <c r="E8" i="3"/>
  <c r="F8" i="3" s="1"/>
  <c r="E4" i="3"/>
  <c r="F4" i="3" s="1"/>
  <c r="C35" i="3"/>
  <c r="C34" i="3"/>
  <c r="C36" i="3"/>
  <c r="E19" i="3"/>
  <c r="F19" i="3" s="1"/>
  <c r="E15" i="3"/>
  <c r="F15" i="3" s="1"/>
  <c r="E11" i="3"/>
  <c r="F11" i="3" s="1"/>
  <c r="E7" i="3"/>
  <c r="F7" i="3" s="1"/>
  <c r="E3" i="3"/>
  <c r="F3" i="3" s="1"/>
  <c r="C33" i="3"/>
  <c r="E5" i="3"/>
  <c r="F5" i="3" s="1"/>
  <c r="E17" i="3"/>
  <c r="F17" i="3" s="1"/>
  <c r="E6" i="3"/>
  <c r="F6" i="3" s="1"/>
  <c r="E10" i="3"/>
  <c r="F10" i="3" s="1"/>
  <c r="D32" i="1"/>
  <c r="E32" i="1" s="1"/>
  <c r="K34" i="6" l="1"/>
  <c r="K35" i="6" s="1"/>
  <c r="K34" i="5"/>
  <c r="K35" i="5" s="1"/>
  <c r="F3" i="4"/>
  <c r="F22" i="4" s="1"/>
  <c r="D22" i="4"/>
  <c r="K34" i="1"/>
  <c r="K35" i="1" s="1"/>
  <c r="F19" i="1"/>
  <c r="F20" i="1"/>
  <c r="F17" i="1"/>
  <c r="F18" i="1"/>
  <c r="F15" i="1"/>
  <c r="F16" i="1"/>
  <c r="E13" i="1"/>
  <c r="F13" i="1" s="1"/>
  <c r="E14" i="1"/>
  <c r="F14" i="1" s="1"/>
  <c r="C35" i="1"/>
  <c r="C33" i="1"/>
  <c r="C34" i="1"/>
  <c r="C36" i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2" i="1"/>
  <c r="F2" i="1" s="1"/>
  <c r="E3" i="1"/>
  <c r="F3" i="1" s="1"/>
  <c r="G3" i="4" l="1"/>
  <c r="G22" i="4" s="1"/>
  <c r="H3" i="4" l="1"/>
</calcChain>
</file>

<file path=xl/sharedStrings.xml><?xml version="1.0" encoding="utf-8"?>
<sst xmlns="http://schemas.openxmlformats.org/spreadsheetml/2006/main" count="111" uniqueCount="57">
  <si>
    <t>no</t>
    <phoneticPr fontId="2" type="noConversion"/>
  </si>
  <si>
    <t>입찰수량</t>
    <phoneticPr fontId="2" type="noConversion"/>
  </si>
  <si>
    <t>입찰단가</t>
    <phoneticPr fontId="2" type="noConversion"/>
  </si>
  <si>
    <t>입찰금액</t>
    <phoneticPr fontId="2" type="noConversion"/>
  </si>
  <si>
    <t>계약금액</t>
    <phoneticPr fontId="2" type="noConversion"/>
  </si>
  <si>
    <t>차액</t>
    <phoneticPr fontId="2" type="noConversion"/>
  </si>
  <si>
    <t>입찰-차액</t>
    <phoneticPr fontId="2" type="noConversion"/>
  </si>
  <si>
    <t>차액/수량</t>
    <phoneticPr fontId="2" type="noConversion"/>
  </si>
  <si>
    <t>돼지고기(뒷다리, 후지)/다진것</t>
  </si>
  <si>
    <t>돼지고기(뒷다리, 후지)/불고기용</t>
  </si>
  <si>
    <t>돼지고기(뒷다리, 후지)/채썬것(세절)</t>
  </si>
  <si>
    <t>돼지고기(뒷다리, 후지)/카레용</t>
  </si>
  <si>
    <t>돼지고기(앞다리, 전지)/불고기용</t>
  </si>
  <si>
    <t>돼지고기(앞다리, 전지)/편육용</t>
  </si>
  <si>
    <t>돼지등뼈</t>
  </si>
  <si>
    <t>한우(우둔)/다진것</t>
  </si>
  <si>
    <t>태성단가</t>
    <phoneticPr fontId="2" type="noConversion"/>
  </si>
  <si>
    <t>합계</t>
    <phoneticPr fontId="2" type="noConversion"/>
  </si>
  <si>
    <t>수량</t>
    <phoneticPr fontId="2" type="noConversion"/>
  </si>
  <si>
    <t>품목</t>
    <phoneticPr fontId="2" type="noConversion"/>
  </si>
  <si>
    <t>학교명</t>
    <phoneticPr fontId="2" type="noConversion"/>
  </si>
  <si>
    <t>배송비</t>
    <phoneticPr fontId="2" type="noConversion"/>
  </si>
  <si>
    <t>하청</t>
    <phoneticPr fontId="2" type="noConversion"/>
  </si>
  <si>
    <t>수익</t>
    <phoneticPr fontId="2" type="noConversion"/>
  </si>
  <si>
    <t>수익률</t>
    <phoneticPr fontId="2" type="noConversion"/>
  </si>
  <si>
    <t>돼지고기(갈비)/찜용</t>
  </si>
  <si>
    <t>한우(양지)/국용</t>
  </si>
  <si>
    <t>돼지고기(목살)/수육용</t>
  </si>
  <si>
    <t>한우(우둔)/채썬것(세절)</t>
  </si>
  <si>
    <t>돼지고기(갈비)/탕용</t>
  </si>
  <si>
    <t>돼지고기(뒷다리, 후지)/슬라이스</t>
  </si>
  <si>
    <t>한우(양지)/다진것</t>
  </si>
  <si>
    <t>돼지고기(목살)/깍둑썰기</t>
  </si>
  <si>
    <t>한우(갈비)/탕용</t>
  </si>
  <si>
    <t>한우(사태)</t>
  </si>
  <si>
    <t>한우(설도)/국용</t>
  </si>
  <si>
    <t>한우(설도)/스테이크용</t>
  </si>
  <si>
    <t>한우(설도)/채썬것(세절)</t>
  </si>
  <si>
    <t>2512_</t>
    <phoneticPr fontId="2" type="noConversion"/>
  </si>
  <si>
    <t>돼지고기(갈비)</t>
  </si>
  <si>
    <t>돼지고기(뒷다리, 후지)</t>
  </si>
  <si>
    <t>돼지고기(앞다리, 전지)</t>
  </si>
  <si>
    <t>돼지단족</t>
  </si>
  <si>
    <t>한우(사태)/국산</t>
  </si>
  <si>
    <t>한우(양지)</t>
  </si>
  <si>
    <t>한우(우둔)</t>
  </si>
  <si>
    <t>온천초</t>
    <phoneticPr fontId="2" type="noConversion"/>
  </si>
  <si>
    <t>구화학교</t>
    <phoneticPr fontId="2" type="noConversion"/>
  </si>
  <si>
    <t>백양고</t>
    <phoneticPr fontId="2" type="noConversion"/>
  </si>
  <si>
    <t>돼지고기(목살)/스테이크용</t>
  </si>
  <si>
    <t>돼지고기(삼겹살)/불고기용</t>
  </si>
  <si>
    <t>돼지고기(앞다리, 전지)/찌개용</t>
  </si>
  <si>
    <t>돼지고기(앞다리, 전지)/채썬것(세절)</t>
  </si>
  <si>
    <t>돼지잡뼈/냉동</t>
  </si>
  <si>
    <t>돼지족발</t>
  </si>
  <si>
    <t>한우(우둔)/장조림용</t>
  </si>
  <si>
    <t>신정초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</si>
</sst>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_-* #,##0.000_-;\-* #,##0.000_-;_-* &quot;-&quot;_-;_-@_-"/>
    <numFmt numFmtId="178" formatCode="###,###"/>
    <numFmt numFmtId="179" formatCode="#,##0.0#####################"/>
    <numFmt numFmtId="180" formatCode="_-* #,##0.000_-;\-* #,##0.000_-;_-* &quot;-&quot;??_-;_-@_-"/>
  </numFmts>
  <fonts count="1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12"/>
      <name val="NanumGothic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Arial"/>
      <family val="2"/>
    </font>
    <font>
      <sz val="11"/>
      <name val="돋움"/>
      <family val="3"/>
      <charset val="129"/>
    </font>
    <font>
      <sz val="9"/>
      <color rgb="FFFF0000"/>
      <name val="굴림체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rgb="FF111111"/>
      <name val="NanumGothic"/>
      <family val="3"/>
      <charset val="129"/>
    </font>
    <font>
      <b/>
      <sz val="9"/>
      <color rgb="FF111111"/>
      <name val="NanumGothic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8"/>
      <color rgb="FFFF0000"/>
      <name val="Tahoma"/>
      <family val="2"/>
    </font>
    <font>
      <b/>
      <sz val="12"/>
      <color theme="0"/>
      <name val="NanumGothic"/>
      <family val="3"/>
      <charset val="129"/>
    </font>
    <font>
      <sz val="9"/>
      <color rgb="FFFF0000"/>
      <name val="Arial"/>
      <family val="2"/>
    </font>
    <font>
      <sz val="9"/>
      <color indexed="12"/>
      <name val="NanumGothic"/>
      <family val="3"/>
      <charset val="129"/>
    </font>
    <font>
      <sz val="11"/>
      <color indexed="8"/>
      <name val="맑은 고딕"/>
      <family val="2"/>
      <scheme val="minor"/>
    </font>
    <font>
      <sz val="8"/>
      <color indexed="8"/>
      <name val="맑은 고딕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</patternFill>
    </fill>
    <fill>
      <patternFill patternType="solid">
        <fgColor rgb="FFD1E2F5"/>
      </patternFill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1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medium">
        <color theme="0" tint="-0.499984740745262"/>
      </left>
      <right style="medium">
        <color theme="0" tint="-0.499984740745262"/>
      </right>
      <top style="thick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34998626667073579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ck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70">
    <xf numFmtId="0" fontId="0" fillId="0" borderId="0" xfId="0">
      <alignment vertical="center"/>
    </xf>
    <xf numFmtId="41" fontId="0" fillId="0" borderId="0" xfId="1" applyFont="1">
      <alignment vertical="center"/>
    </xf>
    <xf numFmtId="41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  <xf numFmtId="41" fontId="0" fillId="2" borderId="0" xfId="1" applyFont="1" applyFill="1">
      <alignment vertical="center"/>
    </xf>
    <xf numFmtId="176" fontId="0" fillId="2" borderId="0" xfId="0" applyNumberFormat="1" applyFill="1">
      <alignment vertical="center"/>
    </xf>
    <xf numFmtId="176" fontId="0" fillId="2" borderId="0" xfId="1" applyNumberFormat="1" applyFont="1" applyFill="1">
      <alignment vertical="center"/>
    </xf>
    <xf numFmtId="176" fontId="0" fillId="3" borderId="0" xfId="1" applyNumberFormat="1" applyFont="1" applyFill="1">
      <alignment vertical="center"/>
    </xf>
    <xf numFmtId="41" fontId="0" fillId="4" borderId="0" xfId="1" applyFont="1" applyFill="1">
      <alignment vertical="center"/>
    </xf>
    <xf numFmtId="0" fontId="3" fillId="4" borderId="1" xfId="0" applyFont="1" applyFill="1" applyBorder="1" applyAlignment="1">
      <alignment horizontal="left" vertical="center" wrapText="1"/>
    </xf>
    <xf numFmtId="3" fontId="3" fillId="4" borderId="1" xfId="0" applyNumberFormat="1" applyFont="1" applyFill="1" applyBorder="1" applyAlignment="1">
      <alignment horizontal="right" vertical="center" wrapText="1"/>
    </xf>
    <xf numFmtId="0" fontId="0" fillId="4" borderId="0" xfId="0" applyFill="1">
      <alignment vertical="center"/>
    </xf>
    <xf numFmtId="41" fontId="0" fillId="4" borderId="0" xfId="0" applyNumberFormat="1" applyFill="1">
      <alignment vertical="center"/>
    </xf>
    <xf numFmtId="41" fontId="0" fillId="5" borderId="0" xfId="1" applyFont="1" applyFill="1">
      <alignment vertical="center"/>
    </xf>
    <xf numFmtId="3" fontId="0" fillId="0" borderId="0" xfId="0" applyNumberFormat="1">
      <alignment vertical="center"/>
    </xf>
    <xf numFmtId="0" fontId="3" fillId="4" borderId="0" xfId="0" applyFont="1" applyFill="1" applyAlignment="1">
      <alignment horizontal="left" vertical="center" wrapText="1"/>
    </xf>
    <xf numFmtId="3" fontId="3" fillId="4" borderId="0" xfId="0" applyNumberFormat="1" applyFont="1" applyFill="1" applyAlignment="1">
      <alignment horizontal="right" vertical="center" wrapText="1"/>
    </xf>
    <xf numFmtId="0" fontId="0" fillId="2" borderId="0" xfId="0" applyFill="1">
      <alignment vertical="center"/>
    </xf>
    <xf numFmtId="41" fontId="7" fillId="0" borderId="2" xfId="3" applyFont="1" applyFill="1" applyBorder="1">
      <alignment vertical="center"/>
    </xf>
    <xf numFmtId="41" fontId="7" fillId="0" borderId="3" xfId="3" applyFont="1" applyFill="1" applyBorder="1">
      <alignment vertical="center"/>
    </xf>
    <xf numFmtId="41" fontId="7" fillId="0" borderId="4" xfId="3" applyFont="1" applyFill="1" applyBorder="1">
      <alignment vertical="center"/>
    </xf>
    <xf numFmtId="41" fontId="7" fillId="0" borderId="5" xfId="3" applyFont="1" applyFill="1" applyBorder="1">
      <alignment vertical="center"/>
    </xf>
    <xf numFmtId="41" fontId="7" fillId="0" borderId="6" xfId="3" applyFont="1" applyFill="1" applyBorder="1">
      <alignment vertical="center"/>
    </xf>
    <xf numFmtId="41" fontId="7" fillId="0" borderId="2" xfId="4" applyNumberFormat="1" applyFont="1" applyBorder="1">
      <alignment vertical="center"/>
    </xf>
    <xf numFmtId="41" fontId="0" fillId="5" borderId="0" xfId="0" applyNumberFormat="1" applyFill="1">
      <alignment vertical="center"/>
    </xf>
    <xf numFmtId="177" fontId="0" fillId="0" borderId="0" xfId="1" applyNumberFormat="1" applyFont="1">
      <alignment vertical="center"/>
    </xf>
    <xf numFmtId="41" fontId="8" fillId="0" borderId="0" xfId="1" applyFont="1">
      <alignment vertical="center"/>
    </xf>
    <xf numFmtId="0" fontId="9" fillId="6" borderId="7" xfId="0" applyFont="1" applyFill="1" applyBorder="1" applyAlignment="1">
      <alignment horizontal="left" vertical="center" wrapText="1"/>
    </xf>
    <xf numFmtId="3" fontId="9" fillId="6" borderId="7" xfId="0" applyNumberFormat="1" applyFont="1" applyFill="1" applyBorder="1" applyAlignment="1">
      <alignment horizontal="right" vertical="center" wrapText="1"/>
    </xf>
    <xf numFmtId="178" fontId="10" fillId="7" borderId="8" xfId="0" applyNumberFormat="1" applyFont="1" applyFill="1" applyBorder="1" applyAlignment="1">
      <alignment horizontal="right" vertical="center" wrapText="1"/>
    </xf>
    <xf numFmtId="41" fontId="7" fillId="4" borderId="9" xfId="3" applyFont="1" applyFill="1" applyBorder="1">
      <alignment vertical="center"/>
    </xf>
    <xf numFmtId="41" fontId="0" fillId="4" borderId="0" xfId="1" applyFont="1" applyFill="1" applyBorder="1">
      <alignment vertical="center"/>
    </xf>
    <xf numFmtId="176" fontId="0" fillId="4" borderId="0" xfId="1" applyNumberFormat="1" applyFont="1" applyFill="1" applyBorder="1">
      <alignment vertical="center"/>
    </xf>
    <xf numFmtId="3" fontId="0" fillId="4" borderId="0" xfId="0" applyNumberFormat="1" applyFill="1">
      <alignment vertical="center"/>
    </xf>
    <xf numFmtId="41" fontId="7" fillId="4" borderId="0" xfId="3" applyFont="1" applyFill="1" applyBorder="1">
      <alignment vertical="center"/>
    </xf>
    <xf numFmtId="41" fontId="7" fillId="4" borderId="0" xfId="4" applyNumberFormat="1" applyFont="1" applyFill="1">
      <alignment vertical="center"/>
    </xf>
    <xf numFmtId="176" fontId="0" fillId="4" borderId="0" xfId="0" applyNumberFormat="1" applyFill="1">
      <alignment vertical="center"/>
    </xf>
    <xf numFmtId="41" fontId="8" fillId="4" borderId="0" xfId="1" applyFont="1" applyFill="1" applyBorder="1">
      <alignment vertical="center"/>
    </xf>
    <xf numFmtId="177" fontId="0" fillId="4" borderId="0" xfId="1" applyNumberFormat="1" applyFont="1" applyFill="1" applyBorder="1">
      <alignment vertical="center"/>
    </xf>
    <xf numFmtId="41" fontId="0" fillId="4" borderId="10" xfId="1" applyFont="1" applyFill="1" applyBorder="1">
      <alignment vertical="center"/>
    </xf>
    <xf numFmtId="176" fontId="0" fillId="4" borderId="10" xfId="1" applyNumberFormat="1" applyFont="1" applyFill="1" applyBorder="1">
      <alignment vertical="center"/>
    </xf>
    <xf numFmtId="0" fontId="0" fillId="4" borderId="10" xfId="0" applyFill="1" applyBorder="1">
      <alignment vertical="center"/>
    </xf>
    <xf numFmtId="0" fontId="3" fillId="4" borderId="10" xfId="0" applyFont="1" applyFill="1" applyBorder="1" applyAlignment="1">
      <alignment horizontal="left" vertical="center" wrapText="1"/>
    </xf>
    <xf numFmtId="3" fontId="3" fillId="4" borderId="10" xfId="0" applyNumberFormat="1" applyFont="1" applyFill="1" applyBorder="1" applyAlignment="1">
      <alignment horizontal="right"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0" xfId="0" applyFont="1" applyFill="1" applyBorder="1">
      <alignment vertical="center"/>
    </xf>
    <xf numFmtId="177" fontId="11" fillId="4" borderId="10" xfId="0" applyNumberFormat="1" applyFont="1" applyFill="1" applyBorder="1">
      <alignment vertical="center"/>
    </xf>
    <xf numFmtId="0" fontId="11" fillId="4" borderId="0" xfId="0" applyFont="1" applyFill="1">
      <alignment vertical="center"/>
    </xf>
    <xf numFmtId="3" fontId="11" fillId="4" borderId="0" xfId="0" applyNumberFormat="1" applyFont="1" applyFill="1">
      <alignment vertical="center"/>
    </xf>
    <xf numFmtId="0" fontId="11" fillId="0" borderId="0" xfId="0" applyFont="1">
      <alignment vertical="center"/>
    </xf>
    <xf numFmtId="0" fontId="0" fillId="2" borderId="10" xfId="0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 wrapText="1"/>
    </xf>
    <xf numFmtId="3" fontId="3" fillId="2" borderId="10" xfId="0" applyNumberFormat="1" applyFont="1" applyFill="1" applyBorder="1" applyAlignment="1">
      <alignment horizontal="right" vertical="center" wrapText="1"/>
    </xf>
    <xf numFmtId="41" fontId="4" fillId="4" borderId="10" xfId="1" applyFont="1" applyFill="1" applyBorder="1">
      <alignment vertical="center"/>
    </xf>
    <xf numFmtId="41" fontId="7" fillId="0" borderId="11" xfId="3" applyFont="1" applyFill="1" applyBorder="1">
      <alignment vertical="center"/>
    </xf>
    <xf numFmtId="179" fontId="9" fillId="6" borderId="7" xfId="0" applyNumberFormat="1" applyFont="1" applyFill="1" applyBorder="1" applyAlignment="1">
      <alignment horizontal="right" vertical="center" wrapText="1"/>
    </xf>
    <xf numFmtId="41" fontId="12" fillId="8" borderId="12" xfId="3" applyFont="1" applyFill="1" applyBorder="1">
      <alignment vertical="center"/>
    </xf>
    <xf numFmtId="41" fontId="7" fillId="0" borderId="13" xfId="4" applyNumberFormat="1" applyFont="1" applyBorder="1">
      <alignment vertical="center"/>
    </xf>
    <xf numFmtId="3" fontId="13" fillId="9" borderId="10" xfId="0" applyNumberFormat="1" applyFont="1" applyFill="1" applyBorder="1" applyAlignment="1">
      <alignment horizontal="right" vertical="center" wrapText="1"/>
    </xf>
    <xf numFmtId="3" fontId="3" fillId="10" borderId="1" xfId="0" applyNumberFormat="1" applyFont="1" applyFill="1" applyBorder="1" applyAlignment="1">
      <alignment horizontal="right" vertical="center" wrapText="1"/>
    </xf>
    <xf numFmtId="177" fontId="3" fillId="2" borderId="10" xfId="0" applyNumberFormat="1" applyFont="1" applyFill="1" applyBorder="1" applyAlignment="1">
      <alignment horizontal="right" vertical="center" wrapText="1"/>
    </xf>
    <xf numFmtId="180" fontId="0" fillId="2" borderId="10" xfId="0" applyNumberFormat="1" applyFill="1" applyBorder="1">
      <alignment vertical="center"/>
    </xf>
    <xf numFmtId="3" fontId="14" fillId="0" borderId="0" xfId="0" applyNumberFormat="1" applyFont="1">
      <alignment vertical="center"/>
    </xf>
    <xf numFmtId="0" fontId="15" fillId="4" borderId="1" xfId="0" applyFont="1" applyFill="1" applyBorder="1" applyAlignment="1">
      <alignment horizontal="left" vertical="center" wrapText="1"/>
    </xf>
    <xf numFmtId="3" fontId="15" fillId="4" borderId="1" xfId="0" applyNumberFormat="1" applyFont="1" applyFill="1" applyBorder="1" applyAlignment="1">
      <alignment horizontal="right" vertical="center" wrapText="1"/>
    </xf>
    <xf numFmtId="41" fontId="17" fillId="0" borderId="0" xfId="6" applyFont="1">
      <alignment vertical="center"/>
    </xf>
    <xf numFmtId="41" fontId="17" fillId="0" borderId="0" xfId="6" applyFont="1">
      <alignment vertical="center"/>
    </xf>
    <xf numFmtId="41" fontId="0" fillId="4" borderId="0" xfId="1" applyNumberFormat="1" applyFont="1" applyFill="1" applyBorder="1">
      <alignment vertical="center"/>
    </xf>
  </cellXfs>
  <cellStyles count="12">
    <cellStyle name="쉼표 [0]" xfId="1" builtinId="6"/>
    <cellStyle name="쉼표 [0] 2" xfId="6"/>
    <cellStyle name="쉼표 [0] 2 3" xfId="3"/>
    <cellStyle name="표준" xfId="0" builtinId="0"/>
    <cellStyle name="표준 2" xfId="2"/>
    <cellStyle name="표준 2 2" xfId="7"/>
    <cellStyle name="표준 3" xfId="8"/>
    <cellStyle name="표준 4" xfId="4"/>
    <cellStyle name="표준 4 2" xfId="9"/>
    <cellStyle name="표준 5" xfId="10"/>
    <cellStyle name="표준 6" xfId="11"/>
    <cellStyle name="표준 7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workbookViewId="0">
      <selection activeCell="F23" sqref="F23"/>
    </sheetView>
  </sheetViews>
  <sheetFormatPr defaultRowHeight="16.5"/>
  <cols>
    <col min="1" max="1" width="9" style="46"/>
    <col min="2" max="2" width="17.25" style="12" customWidth="1"/>
    <col min="3" max="3" width="13.25" style="12" customWidth="1"/>
    <col min="4" max="4" width="9.375" style="12" bestFit="1" customWidth="1"/>
    <col min="5" max="5" width="10.875" bestFit="1" customWidth="1"/>
    <col min="6" max="6" width="14.75" style="4" customWidth="1"/>
    <col min="7" max="7" width="15.25" style="2" bestFit="1" customWidth="1"/>
    <col min="8" max="8" width="10.875" style="51" customWidth="1"/>
    <col min="9" max="9" width="26.5" customWidth="1"/>
    <col min="12" max="12" width="11" style="1" customWidth="1"/>
  </cols>
  <sheetData>
    <row r="1" spans="1:13">
      <c r="A1" s="45" t="s">
        <v>0</v>
      </c>
      <c r="B1" s="40" t="s">
        <v>20</v>
      </c>
      <c r="C1" s="40" t="s">
        <v>4</v>
      </c>
      <c r="D1" s="40" t="s">
        <v>22</v>
      </c>
      <c r="E1" s="40" t="s">
        <v>21</v>
      </c>
      <c r="F1" s="41" t="s">
        <v>17</v>
      </c>
      <c r="G1" s="40" t="s">
        <v>23</v>
      </c>
      <c r="H1" s="47" t="s">
        <v>24</v>
      </c>
      <c r="I1" s="42"/>
      <c r="J1" s="12"/>
      <c r="K1" s="12"/>
      <c r="L1" s="32"/>
      <c r="M1" s="12"/>
    </row>
    <row r="2" spans="1:13">
      <c r="A2" s="45">
        <v>1</v>
      </c>
      <c r="B2" s="43" t="str">
        <f>'1'!A33</f>
        <v>온천초</v>
      </c>
      <c r="C2" s="44">
        <f>'1'!B32</f>
        <v>10525500</v>
      </c>
      <c r="D2" s="44">
        <f>'1'!K31</f>
        <v>7261100</v>
      </c>
      <c r="E2" s="40">
        <f>'1'!K32</f>
        <v>275000</v>
      </c>
      <c r="F2" s="40">
        <f>'1'!K33</f>
        <v>7536100</v>
      </c>
      <c r="G2" s="55">
        <f>C2-F2</f>
        <v>2989400</v>
      </c>
      <c r="H2" s="48">
        <f>G2/C2</f>
        <v>0.28401501116336514</v>
      </c>
      <c r="I2" s="42"/>
      <c r="J2" s="34"/>
      <c r="K2" s="35"/>
      <c r="L2" s="32"/>
      <c r="M2" s="12"/>
    </row>
    <row r="3" spans="1:13">
      <c r="A3" s="45">
        <v>2</v>
      </c>
      <c r="B3" s="43" t="str">
        <f>'2'!A33</f>
        <v>구화학교</v>
      </c>
      <c r="C3" s="44">
        <f>'2'!B32</f>
        <v>3139840</v>
      </c>
      <c r="D3" s="44">
        <f>'2'!K31</f>
        <v>2138500</v>
      </c>
      <c r="E3" s="40">
        <f>'2'!K32</f>
        <v>325000</v>
      </c>
      <c r="F3" s="40">
        <f>'2'!K33</f>
        <v>2463500</v>
      </c>
      <c r="G3" s="55">
        <f t="shared" ref="G3:G5" si="0">C3-F3</f>
        <v>676340</v>
      </c>
      <c r="H3" s="48">
        <f t="shared" ref="H3:H5" si="1">G3/C3</f>
        <v>0.21540588055442317</v>
      </c>
      <c r="I3" s="42"/>
      <c r="J3" s="34"/>
      <c r="K3" s="35"/>
      <c r="L3" s="32"/>
      <c r="M3" s="12"/>
    </row>
    <row r="4" spans="1:13">
      <c r="A4" s="45">
        <v>3</v>
      </c>
      <c r="B4" s="43" t="str">
        <f>'3'!A33</f>
        <v>백양고</v>
      </c>
      <c r="C4" s="44">
        <f>'3'!B32</f>
        <v>4778780</v>
      </c>
      <c r="D4" s="44">
        <f>'3'!K31</f>
        <v>2936700</v>
      </c>
      <c r="E4" s="40">
        <f>'3'!K32</f>
        <v>275000</v>
      </c>
      <c r="F4" s="40">
        <f>'3'!K33</f>
        <v>3211700</v>
      </c>
      <c r="G4" s="55">
        <f t="shared" si="0"/>
        <v>1567080</v>
      </c>
      <c r="H4" s="48">
        <f t="shared" si="1"/>
        <v>0.32792470044655747</v>
      </c>
      <c r="I4" s="42"/>
      <c r="J4" s="34"/>
      <c r="K4" s="35"/>
      <c r="L4" s="32"/>
      <c r="M4" s="12"/>
    </row>
    <row r="5" spans="1:13">
      <c r="A5" s="45">
        <v>4</v>
      </c>
      <c r="B5" s="43" t="str">
        <f>'4'!A33</f>
        <v>신정초</v>
      </c>
      <c r="C5" s="44">
        <f>'4'!B32</f>
        <v>8358600</v>
      </c>
      <c r="D5" s="44">
        <f>'4'!K31</f>
        <v>5345800</v>
      </c>
      <c r="E5" s="40">
        <f>'4'!K32</f>
        <v>200000</v>
      </c>
      <c r="F5" s="40">
        <f>'4'!K33</f>
        <v>5545800</v>
      </c>
      <c r="G5" s="55">
        <f t="shared" si="0"/>
        <v>2812800</v>
      </c>
      <c r="H5" s="48">
        <f t="shared" si="1"/>
        <v>0.33651568444476349</v>
      </c>
      <c r="I5" s="42"/>
      <c r="J5" s="34"/>
      <c r="K5" s="35"/>
      <c r="L5" s="32"/>
      <c r="M5" s="12"/>
    </row>
    <row r="6" spans="1:13">
      <c r="A6" s="45">
        <v>5</v>
      </c>
      <c r="B6" s="43"/>
      <c r="C6" s="44"/>
      <c r="D6" s="44"/>
      <c r="E6" s="40"/>
      <c r="F6" s="40"/>
      <c r="G6" s="40"/>
      <c r="H6" s="48"/>
      <c r="I6" s="42"/>
      <c r="J6" s="34"/>
      <c r="K6" s="35"/>
      <c r="L6" s="32"/>
      <c r="M6" s="12"/>
    </row>
    <row r="7" spans="1:13">
      <c r="A7" s="45">
        <v>6</v>
      </c>
      <c r="B7" s="43"/>
      <c r="C7" s="44"/>
      <c r="D7" s="44"/>
      <c r="E7" s="40"/>
      <c r="F7" s="40"/>
      <c r="G7" s="40"/>
      <c r="H7" s="48"/>
      <c r="I7" s="42"/>
      <c r="J7" s="34"/>
      <c r="K7" s="35"/>
      <c r="L7" s="32"/>
      <c r="M7" s="12"/>
    </row>
    <row r="8" spans="1:13">
      <c r="A8" s="45">
        <v>7</v>
      </c>
      <c r="B8" s="43"/>
      <c r="C8" s="44"/>
      <c r="D8" s="44"/>
      <c r="E8" s="40"/>
      <c r="F8" s="40"/>
      <c r="G8" s="40"/>
      <c r="H8" s="48"/>
      <c r="I8" s="42"/>
      <c r="J8" s="34"/>
      <c r="K8" s="35"/>
      <c r="L8" s="32"/>
      <c r="M8" s="12"/>
    </row>
    <row r="9" spans="1:13">
      <c r="A9" s="45">
        <v>8</v>
      </c>
      <c r="B9" s="43"/>
      <c r="C9" s="44"/>
      <c r="D9" s="44"/>
      <c r="E9" s="40"/>
      <c r="F9" s="40"/>
      <c r="G9" s="40"/>
      <c r="H9" s="48"/>
      <c r="I9" s="42"/>
      <c r="J9" s="34"/>
      <c r="K9" s="35"/>
      <c r="L9" s="32"/>
      <c r="M9" s="12"/>
    </row>
    <row r="10" spans="1:13">
      <c r="A10" s="45">
        <v>9</v>
      </c>
      <c r="B10" s="43"/>
      <c r="C10" s="44"/>
      <c r="D10" s="44"/>
      <c r="E10" s="40"/>
      <c r="F10" s="40"/>
      <c r="G10" s="40"/>
      <c r="H10" s="48"/>
      <c r="I10" s="42"/>
      <c r="J10" s="34"/>
      <c r="K10" s="35"/>
      <c r="L10" s="32"/>
      <c r="M10" s="12"/>
    </row>
    <row r="11" spans="1:13">
      <c r="A11" s="45">
        <v>10</v>
      </c>
      <c r="B11" s="43"/>
      <c r="C11" s="44"/>
      <c r="D11" s="44"/>
      <c r="E11" s="40"/>
      <c r="F11" s="40"/>
      <c r="G11" s="40"/>
      <c r="H11" s="48"/>
      <c r="I11" s="42"/>
      <c r="J11" s="34"/>
      <c r="K11" s="35"/>
      <c r="L11" s="32"/>
      <c r="M11" s="12"/>
    </row>
    <row r="12" spans="1:13">
      <c r="A12" s="45">
        <v>11</v>
      </c>
      <c r="B12" s="43"/>
      <c r="C12" s="44"/>
      <c r="D12" s="44"/>
      <c r="E12" s="40"/>
      <c r="F12" s="40"/>
      <c r="G12" s="40"/>
      <c r="H12" s="48"/>
      <c r="I12" s="42"/>
      <c r="J12" s="34"/>
      <c r="K12" s="35"/>
      <c r="L12" s="32"/>
      <c r="M12" s="12"/>
    </row>
    <row r="13" spans="1:13">
      <c r="A13" s="45">
        <v>12</v>
      </c>
      <c r="B13" s="43"/>
      <c r="C13" s="44"/>
      <c r="D13" s="44"/>
      <c r="E13" s="40"/>
      <c r="F13" s="40"/>
      <c r="G13" s="40"/>
      <c r="H13" s="48"/>
      <c r="I13" s="42"/>
      <c r="J13" s="34"/>
      <c r="K13" s="35"/>
      <c r="L13" s="32"/>
      <c r="M13" s="12"/>
    </row>
    <row r="14" spans="1:13">
      <c r="A14" s="45">
        <v>13</v>
      </c>
      <c r="B14" s="43"/>
      <c r="C14" s="44"/>
      <c r="D14" s="44"/>
      <c r="E14" s="40"/>
      <c r="F14" s="40"/>
      <c r="G14" s="40"/>
      <c r="H14" s="48"/>
      <c r="I14" s="42"/>
      <c r="J14" s="34"/>
      <c r="K14" s="35"/>
      <c r="L14" s="32"/>
      <c r="M14" s="12"/>
    </row>
    <row r="15" spans="1:13">
      <c r="A15" s="45">
        <v>14</v>
      </c>
      <c r="B15" s="43"/>
      <c r="C15" s="44"/>
      <c r="D15" s="44"/>
      <c r="E15" s="40"/>
      <c r="F15" s="40"/>
      <c r="G15" s="40"/>
      <c r="H15" s="48"/>
      <c r="I15" s="42"/>
      <c r="J15" s="34"/>
      <c r="K15" s="35"/>
      <c r="L15" s="32"/>
      <c r="M15" s="12"/>
    </row>
    <row r="16" spans="1:13">
      <c r="A16" s="45">
        <v>15</v>
      </c>
      <c r="B16" s="43"/>
      <c r="C16" s="44"/>
      <c r="D16" s="44"/>
      <c r="E16" s="40"/>
      <c r="F16" s="40"/>
      <c r="G16" s="40"/>
      <c r="H16" s="48"/>
      <c r="I16" s="42"/>
      <c r="J16" s="34"/>
      <c r="K16" s="35"/>
      <c r="L16" s="32"/>
      <c r="M16" s="12"/>
    </row>
    <row r="17" spans="1:13">
      <c r="A17" s="45">
        <v>16</v>
      </c>
      <c r="B17" s="43"/>
      <c r="C17" s="44"/>
      <c r="D17" s="44"/>
      <c r="E17" s="40"/>
      <c r="F17" s="40"/>
      <c r="G17" s="40"/>
      <c r="H17" s="48"/>
      <c r="I17" s="42"/>
      <c r="J17" s="34"/>
      <c r="K17" s="36"/>
      <c r="L17" s="32"/>
      <c r="M17" s="12"/>
    </row>
    <row r="18" spans="1:13">
      <c r="A18" s="45">
        <v>17</v>
      </c>
      <c r="B18" s="43"/>
      <c r="C18" s="44"/>
      <c r="D18" s="44"/>
      <c r="E18" s="40"/>
      <c r="F18" s="40"/>
      <c r="G18" s="40"/>
      <c r="H18" s="48"/>
      <c r="I18" s="42"/>
      <c r="J18" s="34"/>
      <c r="K18" s="36"/>
      <c r="L18" s="32"/>
      <c r="M18" s="12"/>
    </row>
    <row r="19" spans="1:13">
      <c r="A19" s="45">
        <v>18</v>
      </c>
      <c r="B19" s="43"/>
      <c r="C19" s="44"/>
      <c r="D19" s="44"/>
      <c r="E19" s="40"/>
      <c r="F19" s="40"/>
      <c r="G19" s="40"/>
      <c r="H19" s="48"/>
      <c r="I19" s="42"/>
      <c r="J19" s="34"/>
      <c r="K19" s="36"/>
      <c r="L19" s="32"/>
      <c r="M19" s="12"/>
    </row>
    <row r="20" spans="1:13">
      <c r="A20" s="45">
        <v>19</v>
      </c>
      <c r="B20" s="43"/>
      <c r="C20" s="44"/>
      <c r="D20" s="44"/>
      <c r="E20" s="40"/>
      <c r="F20" s="40"/>
      <c r="G20" s="40"/>
      <c r="H20" s="48"/>
      <c r="I20" s="42"/>
      <c r="J20" s="34"/>
      <c r="K20" s="36"/>
      <c r="L20" s="32"/>
      <c r="M20" s="12"/>
    </row>
    <row r="21" spans="1:13">
      <c r="A21" s="45">
        <v>20</v>
      </c>
      <c r="B21" s="43"/>
      <c r="C21" s="44"/>
      <c r="D21" s="44"/>
      <c r="E21" s="40"/>
      <c r="F21" s="40"/>
      <c r="G21" s="40"/>
      <c r="H21" s="48"/>
      <c r="I21" s="42"/>
      <c r="J21" s="34"/>
      <c r="K21" s="12"/>
      <c r="L21" s="32"/>
      <c r="M21" s="12"/>
    </row>
    <row r="22" spans="1:13" ht="31.5" customHeight="1">
      <c r="A22" s="52" t="s">
        <v>17</v>
      </c>
      <c r="B22" s="53">
        <f>'1'!A53</f>
        <v>0</v>
      </c>
      <c r="C22" s="54">
        <f>SUM(C2:C21)</f>
        <v>26802720</v>
      </c>
      <c r="D22" s="54">
        <f t="shared" ref="D22:G22" si="2">SUM(D2:D21)</f>
        <v>17682100</v>
      </c>
      <c r="E22" s="54">
        <f t="shared" si="2"/>
        <v>1075000</v>
      </c>
      <c r="F22" s="54">
        <f t="shared" si="2"/>
        <v>18757100</v>
      </c>
      <c r="G22" s="60">
        <f t="shared" si="2"/>
        <v>8045620</v>
      </c>
      <c r="H22" s="62">
        <f>H2+H3+H4+H5</f>
        <v>1.1638612766091092</v>
      </c>
      <c r="I22" s="63">
        <f>H22/4</f>
        <v>0.2909653191522773</v>
      </c>
      <c r="J22" s="34"/>
      <c r="K22" s="12"/>
      <c r="L22" s="32"/>
      <c r="M22" s="12"/>
    </row>
    <row r="23" spans="1:13">
      <c r="B23" s="16"/>
      <c r="C23" s="17"/>
      <c r="D23" s="17"/>
      <c r="E23" s="32"/>
      <c r="F23" s="69">
        <f>F22-F3</f>
        <v>16293600</v>
      </c>
      <c r="G23" s="32"/>
      <c r="H23" s="49"/>
      <c r="I23" s="12"/>
      <c r="J23" s="34"/>
      <c r="K23" s="12"/>
      <c r="L23" s="32"/>
      <c r="M23" s="12"/>
    </row>
    <row r="24" spans="1:13">
      <c r="B24" s="16"/>
      <c r="C24" s="17"/>
      <c r="D24" s="17"/>
      <c r="E24" s="32"/>
      <c r="F24" s="33"/>
      <c r="G24" s="32"/>
      <c r="H24" s="49"/>
      <c r="I24" s="12"/>
      <c r="J24" s="34"/>
      <c r="K24" s="12"/>
      <c r="L24" s="32"/>
      <c r="M24" s="12"/>
    </row>
    <row r="25" spans="1:13">
      <c r="B25" s="16"/>
      <c r="C25" s="17"/>
      <c r="D25" s="17"/>
      <c r="E25" s="32"/>
      <c r="F25" s="33"/>
      <c r="G25" s="32"/>
      <c r="H25" s="49"/>
      <c r="I25" s="12"/>
      <c r="J25" s="34"/>
      <c r="K25" s="12"/>
      <c r="L25" s="32"/>
      <c r="M25" s="12"/>
    </row>
    <row r="26" spans="1:13">
      <c r="B26" s="16"/>
      <c r="C26" s="17"/>
      <c r="D26" s="17"/>
      <c r="E26" s="32"/>
      <c r="F26" s="33"/>
      <c r="G26" s="32"/>
      <c r="H26" s="49"/>
      <c r="I26" s="12"/>
      <c r="J26" s="34"/>
      <c r="K26" s="12"/>
      <c r="L26" s="32"/>
      <c r="M26" s="12"/>
    </row>
    <row r="27" spans="1:13">
      <c r="B27" s="16"/>
      <c r="C27" s="17"/>
      <c r="D27" s="17"/>
      <c r="E27" s="32"/>
      <c r="F27" s="33"/>
      <c r="G27" s="32"/>
      <c r="H27" s="49"/>
      <c r="I27" s="12"/>
      <c r="J27" s="34"/>
      <c r="K27" s="12"/>
      <c r="L27" s="32"/>
      <c r="M27" s="12"/>
    </row>
    <row r="28" spans="1:13">
      <c r="C28" s="32"/>
      <c r="D28" s="32"/>
      <c r="E28" s="32"/>
      <c r="F28" s="33"/>
      <c r="G28" s="32"/>
      <c r="H28" s="49"/>
      <c r="I28" s="12"/>
      <c r="J28" s="34"/>
      <c r="K28" s="12"/>
      <c r="L28" s="32"/>
      <c r="M28" s="12"/>
    </row>
    <row r="29" spans="1:13">
      <c r="C29" s="32"/>
      <c r="D29" s="32"/>
      <c r="E29" s="32"/>
      <c r="F29" s="33"/>
      <c r="G29" s="32"/>
      <c r="H29" s="49"/>
      <c r="I29" s="12"/>
      <c r="J29" s="34"/>
      <c r="K29" s="12"/>
      <c r="L29" s="32"/>
      <c r="M29" s="12"/>
    </row>
    <row r="30" spans="1:13">
      <c r="C30" s="32"/>
      <c r="D30" s="32"/>
      <c r="E30" s="32"/>
      <c r="F30" s="33"/>
      <c r="G30" s="32"/>
      <c r="H30" s="49"/>
      <c r="I30" s="12"/>
      <c r="J30" s="34"/>
      <c r="K30" s="12"/>
      <c r="L30" s="32"/>
      <c r="M30" s="12"/>
    </row>
    <row r="31" spans="1:13">
      <c r="B31" s="32"/>
      <c r="C31" s="32"/>
      <c r="D31" s="32"/>
      <c r="E31" s="32"/>
      <c r="F31" s="33"/>
      <c r="G31" s="32"/>
      <c r="H31" s="49"/>
      <c r="I31" s="13"/>
      <c r="J31" s="12"/>
      <c r="K31" s="12"/>
      <c r="L31" s="32"/>
      <c r="M31" s="12"/>
    </row>
    <row r="32" spans="1:13">
      <c r="B32" s="32"/>
      <c r="C32" s="32"/>
      <c r="D32" s="32"/>
      <c r="E32" s="32"/>
      <c r="F32" s="32"/>
      <c r="G32" s="32"/>
      <c r="H32" s="49"/>
      <c r="I32" s="12"/>
      <c r="J32" s="12"/>
      <c r="K32" s="12"/>
      <c r="L32" s="32"/>
      <c r="M32" s="12"/>
    </row>
    <row r="33" spans="3:13">
      <c r="C33" s="13"/>
      <c r="E33" s="12"/>
      <c r="F33" s="37"/>
      <c r="G33" s="13"/>
      <c r="H33" s="49"/>
      <c r="I33" s="12"/>
      <c r="J33" s="12"/>
      <c r="K33" s="12"/>
      <c r="L33" s="32"/>
      <c r="M33" s="12"/>
    </row>
    <row r="34" spans="3:13">
      <c r="C34" s="13"/>
      <c r="E34" s="12"/>
      <c r="F34" s="37"/>
      <c r="G34" s="13"/>
      <c r="H34" s="49"/>
      <c r="I34" s="12"/>
      <c r="J34" s="12"/>
      <c r="K34" s="12"/>
      <c r="L34" s="38"/>
      <c r="M34" s="12"/>
    </row>
    <row r="35" spans="3:13">
      <c r="C35" s="13"/>
      <c r="E35" s="12"/>
      <c r="F35" s="37"/>
      <c r="G35" s="13"/>
      <c r="H35" s="49"/>
      <c r="I35" s="12"/>
      <c r="J35" s="12"/>
      <c r="K35" s="12"/>
      <c r="L35" s="39"/>
      <c r="M35" s="12"/>
    </row>
    <row r="36" spans="3:13">
      <c r="C36" s="13"/>
      <c r="E36" s="12"/>
      <c r="F36" s="37"/>
      <c r="G36" s="13"/>
      <c r="H36" s="49"/>
      <c r="I36" s="12"/>
      <c r="J36" s="12"/>
      <c r="K36" s="12"/>
      <c r="L36" s="32"/>
      <c r="M36" s="12"/>
    </row>
    <row r="37" spans="3:13">
      <c r="C37" s="13"/>
      <c r="E37" s="12"/>
      <c r="F37" s="37"/>
      <c r="G37" s="13"/>
      <c r="H37" s="49"/>
      <c r="I37" s="12"/>
      <c r="J37" s="12"/>
      <c r="K37" s="12"/>
      <c r="L37" s="32"/>
      <c r="M37" s="12"/>
    </row>
    <row r="38" spans="3:13">
      <c r="C38" s="13"/>
      <c r="E38" s="12"/>
      <c r="F38" s="37"/>
      <c r="G38" s="13"/>
      <c r="H38" s="50"/>
      <c r="I38" s="12"/>
      <c r="J38" s="12"/>
      <c r="K38" s="12"/>
      <c r="L38" s="32"/>
      <c r="M38" s="12"/>
    </row>
    <row r="39" spans="3:13">
      <c r="C39" s="13"/>
    </row>
    <row r="40" spans="3:13">
      <c r="C40" s="13"/>
    </row>
    <row r="41" spans="3:13">
      <c r="C41" s="13"/>
    </row>
    <row r="42" spans="3:13">
      <c r="C42" s="1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selection activeCell="C36" sqref="C36"/>
    </sheetView>
  </sheetViews>
  <sheetFormatPr defaultRowHeight="16.5"/>
  <cols>
    <col min="1" max="1" width="21.625" style="12" bestFit="1" customWidth="1"/>
    <col min="2" max="2" width="10.875" style="12" bestFit="1" customWidth="1"/>
    <col min="3" max="3" width="9.375" style="12" bestFit="1" customWidth="1"/>
    <col min="4" max="4" width="10.875" bestFit="1" customWidth="1"/>
    <col min="5" max="5" width="12.5" style="4" customWidth="1"/>
    <col min="6" max="6" width="14.125" style="4" bestFit="1" customWidth="1"/>
    <col min="7" max="7" width="10.875" customWidth="1"/>
    <col min="8" max="8" width="26.5" customWidth="1"/>
    <col min="11" max="11" width="12.75" style="1" customWidth="1"/>
  </cols>
  <sheetData>
    <row r="1" spans="1:11" ht="17.25" thickBot="1">
      <c r="A1" s="9" t="s">
        <v>19</v>
      </c>
      <c r="B1" s="9" t="s">
        <v>1</v>
      </c>
      <c r="C1" s="9" t="s">
        <v>2</v>
      </c>
      <c r="D1" s="1" t="s">
        <v>3</v>
      </c>
      <c r="E1" s="7" t="s">
        <v>6</v>
      </c>
      <c r="F1" s="8" t="s">
        <v>7</v>
      </c>
      <c r="H1" t="s">
        <v>19</v>
      </c>
      <c r="I1" t="s">
        <v>18</v>
      </c>
      <c r="J1" t="s">
        <v>16</v>
      </c>
      <c r="K1" s="1" t="s">
        <v>17</v>
      </c>
    </row>
    <row r="2" spans="1:11" ht="18" thickTop="1" thickBot="1">
      <c r="A2" s="10" t="s">
        <v>25</v>
      </c>
      <c r="B2" s="61">
        <v>110</v>
      </c>
      <c r="C2" s="11">
        <v>12000</v>
      </c>
      <c r="D2" s="1">
        <f>B2*C2</f>
        <v>1320000</v>
      </c>
      <c r="E2" s="5">
        <f t="shared" ref="E2:E14" si="0">D2+$E$32</f>
        <v>1320000</v>
      </c>
      <c r="F2" s="8">
        <f>E2/B2</f>
        <v>12000</v>
      </c>
      <c r="G2" s="2"/>
      <c r="H2" t="str">
        <f>A2</f>
        <v>돼지고기(갈비)/찜용</v>
      </c>
      <c r="I2" s="15">
        <f>B2</f>
        <v>110</v>
      </c>
      <c r="J2" s="19">
        <v>8800</v>
      </c>
      <c r="K2" s="1">
        <f>I2*J2</f>
        <v>968000</v>
      </c>
    </row>
    <row r="3" spans="1:11" ht="18" thickTop="1" thickBot="1">
      <c r="A3" s="10" t="s">
        <v>29</v>
      </c>
      <c r="B3" s="61">
        <v>40</v>
      </c>
      <c r="C3" s="11">
        <v>12000</v>
      </c>
      <c r="D3" s="1">
        <f t="shared" ref="D3:D20" si="1">B3*C3</f>
        <v>480000</v>
      </c>
      <c r="E3" s="5">
        <f t="shared" si="0"/>
        <v>480000</v>
      </c>
      <c r="F3" s="8">
        <f t="shared" ref="F3:F20" si="2">E3/B3</f>
        <v>12000</v>
      </c>
      <c r="G3" s="2"/>
      <c r="H3" t="str">
        <f t="shared" ref="H3:H30" si="3">A3</f>
        <v>돼지고기(갈비)/탕용</v>
      </c>
      <c r="I3" s="15">
        <f t="shared" ref="I3:I30" si="4">B3</f>
        <v>40</v>
      </c>
      <c r="J3" s="19">
        <v>8800</v>
      </c>
      <c r="K3" s="1">
        <f t="shared" ref="K3:K30" si="5">I3*J3</f>
        <v>352000</v>
      </c>
    </row>
    <row r="4" spans="1:11" ht="18" thickTop="1" thickBot="1">
      <c r="A4" s="10" t="s">
        <v>8</v>
      </c>
      <c r="B4" s="61">
        <v>40</v>
      </c>
      <c r="C4" s="11">
        <v>12000</v>
      </c>
      <c r="D4" s="1">
        <f t="shared" si="1"/>
        <v>480000</v>
      </c>
      <c r="E4" s="5">
        <f t="shared" si="0"/>
        <v>480000</v>
      </c>
      <c r="F4" s="8">
        <f t="shared" si="2"/>
        <v>12000</v>
      </c>
      <c r="G4" s="2"/>
      <c r="H4" t="str">
        <f t="shared" si="3"/>
        <v>돼지고기(뒷다리, 후지)/다진것</v>
      </c>
      <c r="I4" s="15">
        <f t="shared" si="4"/>
        <v>40</v>
      </c>
      <c r="J4" s="19">
        <v>7300</v>
      </c>
      <c r="K4" s="1">
        <f t="shared" si="5"/>
        <v>292000</v>
      </c>
    </row>
    <row r="5" spans="1:11" ht="18" thickTop="1" thickBot="1">
      <c r="A5" s="10" t="s">
        <v>9</v>
      </c>
      <c r="B5" s="61">
        <v>20</v>
      </c>
      <c r="C5" s="11">
        <v>12025</v>
      </c>
      <c r="D5" s="1">
        <f t="shared" si="1"/>
        <v>240500</v>
      </c>
      <c r="E5" s="5">
        <f t="shared" si="0"/>
        <v>240500</v>
      </c>
      <c r="F5" s="8">
        <f t="shared" si="2"/>
        <v>12025</v>
      </c>
      <c r="G5" s="2"/>
      <c r="H5" t="str">
        <f t="shared" si="3"/>
        <v>돼지고기(뒷다리, 후지)/불고기용</v>
      </c>
      <c r="I5" s="15">
        <f t="shared" si="4"/>
        <v>20</v>
      </c>
      <c r="J5" s="19">
        <v>7300</v>
      </c>
      <c r="K5" s="1">
        <f t="shared" si="5"/>
        <v>146000</v>
      </c>
    </row>
    <row r="6" spans="1:11" ht="18" thickTop="1" thickBot="1">
      <c r="A6" s="10" t="s">
        <v>30</v>
      </c>
      <c r="B6" s="61">
        <v>32</v>
      </c>
      <c r="C6" s="11">
        <v>12000</v>
      </c>
      <c r="D6" s="1">
        <f t="shared" si="1"/>
        <v>384000</v>
      </c>
      <c r="E6" s="5">
        <f t="shared" si="0"/>
        <v>384000</v>
      </c>
      <c r="F6" s="8">
        <f t="shared" si="2"/>
        <v>12000</v>
      </c>
      <c r="G6" s="2"/>
      <c r="H6" t="str">
        <f t="shared" si="3"/>
        <v>돼지고기(뒷다리, 후지)/슬라이스</v>
      </c>
      <c r="I6" s="15">
        <f t="shared" si="4"/>
        <v>32</v>
      </c>
      <c r="J6" s="19">
        <v>7300</v>
      </c>
      <c r="K6" s="1">
        <f t="shared" si="5"/>
        <v>233600</v>
      </c>
    </row>
    <row r="7" spans="1:11" ht="25.5" thickTop="1" thickBot="1">
      <c r="A7" s="10" t="s">
        <v>10</v>
      </c>
      <c r="B7" s="61">
        <v>45</v>
      </c>
      <c r="C7" s="11">
        <v>12000</v>
      </c>
      <c r="D7" s="1">
        <f t="shared" si="1"/>
        <v>540000</v>
      </c>
      <c r="E7" s="5">
        <f t="shared" si="0"/>
        <v>540000</v>
      </c>
      <c r="F7" s="8">
        <f t="shared" si="2"/>
        <v>12000</v>
      </c>
      <c r="G7" s="2"/>
      <c r="H7" t="str">
        <f t="shared" si="3"/>
        <v>돼지고기(뒷다리, 후지)/채썬것(세절)</v>
      </c>
      <c r="I7" s="15">
        <f t="shared" si="4"/>
        <v>45</v>
      </c>
      <c r="J7" s="19">
        <v>7300</v>
      </c>
      <c r="K7" s="1">
        <f t="shared" si="5"/>
        <v>328500</v>
      </c>
    </row>
    <row r="8" spans="1:11" ht="17.25" thickTop="1">
      <c r="A8" s="10" t="s">
        <v>11</v>
      </c>
      <c r="B8" s="61">
        <v>25</v>
      </c>
      <c r="C8" s="11">
        <v>12000</v>
      </c>
      <c r="D8" s="1">
        <f t="shared" si="1"/>
        <v>300000</v>
      </c>
      <c r="E8" s="5">
        <f t="shared" si="0"/>
        <v>300000</v>
      </c>
      <c r="F8" s="8">
        <f t="shared" si="2"/>
        <v>12000</v>
      </c>
      <c r="G8" s="2"/>
      <c r="H8" t="str">
        <f t="shared" si="3"/>
        <v>돼지고기(뒷다리, 후지)/카레용</v>
      </c>
      <c r="I8" s="15">
        <f t="shared" si="4"/>
        <v>25</v>
      </c>
      <c r="J8" s="19">
        <v>7300</v>
      </c>
      <c r="K8" s="1">
        <f t="shared" si="5"/>
        <v>182500</v>
      </c>
    </row>
    <row r="9" spans="1:11">
      <c r="A9" s="10" t="s">
        <v>12</v>
      </c>
      <c r="B9" s="61">
        <v>207</v>
      </c>
      <c r="C9" s="11">
        <v>11000</v>
      </c>
      <c r="D9" s="1">
        <f t="shared" si="1"/>
        <v>2277000</v>
      </c>
      <c r="E9" s="5">
        <f t="shared" si="0"/>
        <v>2277000</v>
      </c>
      <c r="F9" s="8">
        <f t="shared" si="2"/>
        <v>11000</v>
      </c>
      <c r="H9" t="str">
        <f t="shared" si="3"/>
        <v>돼지고기(앞다리, 전지)/불고기용</v>
      </c>
      <c r="I9" s="15">
        <f t="shared" si="4"/>
        <v>207</v>
      </c>
      <c r="J9" s="20">
        <v>8500</v>
      </c>
      <c r="K9" s="1">
        <f t="shared" si="5"/>
        <v>1759500</v>
      </c>
    </row>
    <row r="10" spans="1:11">
      <c r="A10" s="10" t="s">
        <v>13</v>
      </c>
      <c r="B10" s="61">
        <v>88</v>
      </c>
      <c r="C10" s="11">
        <v>11000</v>
      </c>
      <c r="D10" s="1">
        <f t="shared" si="1"/>
        <v>968000</v>
      </c>
      <c r="E10" s="5">
        <f t="shared" si="0"/>
        <v>968000</v>
      </c>
      <c r="F10" s="8">
        <f t="shared" si="2"/>
        <v>11000</v>
      </c>
      <c r="H10" t="str">
        <f t="shared" si="3"/>
        <v>돼지고기(앞다리, 전지)/편육용</v>
      </c>
      <c r="I10" s="15">
        <f t="shared" si="4"/>
        <v>88</v>
      </c>
      <c r="J10" s="20">
        <v>8500</v>
      </c>
      <c r="K10" s="1">
        <f t="shared" si="5"/>
        <v>748000</v>
      </c>
    </row>
    <row r="11" spans="1:11">
      <c r="A11" s="10" t="s">
        <v>14</v>
      </c>
      <c r="B11" s="61">
        <v>25</v>
      </c>
      <c r="C11" s="11">
        <v>9000</v>
      </c>
      <c r="D11" s="1">
        <f t="shared" si="1"/>
        <v>225000</v>
      </c>
      <c r="E11" s="5">
        <f t="shared" si="0"/>
        <v>225000</v>
      </c>
      <c r="F11" s="8">
        <f t="shared" si="2"/>
        <v>9000</v>
      </c>
      <c r="H11" t="str">
        <f t="shared" si="3"/>
        <v>돼지등뼈</v>
      </c>
      <c r="I11" s="15">
        <f t="shared" si="4"/>
        <v>25</v>
      </c>
      <c r="J11" s="21">
        <v>3800</v>
      </c>
      <c r="K11" s="1">
        <f t="shared" si="5"/>
        <v>95000</v>
      </c>
    </row>
    <row r="12" spans="1:11">
      <c r="A12" s="10" t="s">
        <v>26</v>
      </c>
      <c r="B12" s="61">
        <v>53</v>
      </c>
      <c r="C12" s="11">
        <v>43000</v>
      </c>
      <c r="D12" s="1">
        <f t="shared" si="1"/>
        <v>2279000</v>
      </c>
      <c r="E12" s="5">
        <f t="shared" si="0"/>
        <v>2279000</v>
      </c>
      <c r="F12" s="8">
        <f t="shared" si="2"/>
        <v>43000</v>
      </c>
      <c r="H12" t="str">
        <f t="shared" si="3"/>
        <v>한우(양지)/국용</v>
      </c>
      <c r="I12" s="15">
        <f t="shared" si="4"/>
        <v>53</v>
      </c>
      <c r="J12" s="22">
        <v>28000</v>
      </c>
      <c r="K12" s="1">
        <f t="shared" si="5"/>
        <v>1484000</v>
      </c>
    </row>
    <row r="13" spans="1:11">
      <c r="A13" s="10" t="s">
        <v>31</v>
      </c>
      <c r="B13" s="61">
        <v>8</v>
      </c>
      <c r="C13" s="11">
        <v>43000</v>
      </c>
      <c r="D13" s="1">
        <f t="shared" si="1"/>
        <v>344000</v>
      </c>
      <c r="E13" s="5">
        <f t="shared" si="0"/>
        <v>344000</v>
      </c>
      <c r="F13" s="8">
        <f t="shared" si="2"/>
        <v>43000</v>
      </c>
      <c r="H13" t="str">
        <f t="shared" si="3"/>
        <v>한우(양지)/다진것</v>
      </c>
      <c r="I13" s="15">
        <f t="shared" si="4"/>
        <v>8</v>
      </c>
      <c r="J13" s="22">
        <v>28000</v>
      </c>
      <c r="K13" s="1">
        <f t="shared" si="5"/>
        <v>224000</v>
      </c>
    </row>
    <row r="14" spans="1:11">
      <c r="A14" s="10" t="s">
        <v>28</v>
      </c>
      <c r="B14" s="61">
        <v>16</v>
      </c>
      <c r="C14" s="11">
        <v>43000</v>
      </c>
      <c r="D14" s="1">
        <f t="shared" si="1"/>
        <v>688000</v>
      </c>
      <c r="E14" s="5">
        <f t="shared" si="0"/>
        <v>688000</v>
      </c>
      <c r="F14" s="8">
        <f t="shared" si="2"/>
        <v>43000</v>
      </c>
      <c r="H14" t="str">
        <f t="shared" si="3"/>
        <v>한우(우둔)/채썬것(세절)</v>
      </c>
      <c r="I14" s="15">
        <f t="shared" si="4"/>
        <v>16</v>
      </c>
      <c r="J14" s="22">
        <v>28000</v>
      </c>
      <c r="K14" s="1">
        <f t="shared" si="5"/>
        <v>448000</v>
      </c>
    </row>
    <row r="15" spans="1:11">
      <c r="A15" s="10"/>
      <c r="B15" s="11"/>
      <c r="C15" s="11"/>
      <c r="D15" s="1">
        <f t="shared" si="1"/>
        <v>0</v>
      </c>
      <c r="E15" s="5"/>
      <c r="F15" s="8" t="e">
        <f t="shared" si="2"/>
        <v>#DIV/0!</v>
      </c>
      <c r="H15">
        <f t="shared" si="3"/>
        <v>0</v>
      </c>
      <c r="I15" s="15">
        <f t="shared" si="4"/>
        <v>0</v>
      </c>
      <c r="J15" s="23"/>
      <c r="K15" s="1">
        <f t="shared" si="5"/>
        <v>0</v>
      </c>
    </row>
    <row r="16" spans="1:11" ht="17.25" thickBot="1">
      <c r="A16" s="10"/>
      <c r="B16" s="11"/>
      <c r="C16" s="17"/>
      <c r="D16" s="1">
        <f t="shared" si="1"/>
        <v>0</v>
      </c>
      <c r="E16" s="5"/>
      <c r="F16" s="8" t="e">
        <f t="shared" si="2"/>
        <v>#DIV/0!</v>
      </c>
      <c r="H16">
        <f t="shared" si="3"/>
        <v>0</v>
      </c>
      <c r="I16" s="15">
        <f t="shared" si="4"/>
        <v>0</v>
      </c>
      <c r="J16" s="23"/>
      <c r="K16" s="1">
        <f t="shared" si="5"/>
        <v>0</v>
      </c>
    </row>
    <row r="17" spans="1:11" ht="18" thickTop="1" thickBot="1">
      <c r="A17" s="10"/>
      <c r="B17" s="11"/>
      <c r="C17" s="17"/>
      <c r="D17" s="1">
        <f t="shared" si="1"/>
        <v>0</v>
      </c>
      <c r="E17" s="5"/>
      <c r="F17" s="8" t="e">
        <f t="shared" si="2"/>
        <v>#DIV/0!</v>
      </c>
      <c r="H17">
        <f t="shared" si="3"/>
        <v>0</v>
      </c>
      <c r="I17" s="15">
        <f t="shared" si="4"/>
        <v>0</v>
      </c>
      <c r="J17" s="24"/>
      <c r="K17" s="1">
        <f t="shared" si="5"/>
        <v>0</v>
      </c>
    </row>
    <row r="18" spans="1:11" ht="18" thickTop="1" thickBot="1">
      <c r="A18" s="10"/>
      <c r="B18" s="11"/>
      <c r="C18" s="17"/>
      <c r="D18" s="1">
        <f t="shared" si="1"/>
        <v>0</v>
      </c>
      <c r="E18" s="5"/>
      <c r="F18" s="8" t="e">
        <f t="shared" si="2"/>
        <v>#DIV/0!</v>
      </c>
      <c r="H18">
        <f t="shared" si="3"/>
        <v>0</v>
      </c>
      <c r="I18" s="15">
        <f t="shared" si="4"/>
        <v>0</v>
      </c>
      <c r="J18" s="24"/>
      <c r="K18" s="1">
        <f t="shared" si="5"/>
        <v>0</v>
      </c>
    </row>
    <row r="19" spans="1:11" ht="18" thickTop="1" thickBot="1">
      <c r="A19" s="10"/>
      <c r="B19" s="11"/>
      <c r="C19" s="17"/>
      <c r="D19" s="1">
        <f t="shared" si="1"/>
        <v>0</v>
      </c>
      <c r="E19" s="5"/>
      <c r="F19" s="8" t="e">
        <f t="shared" si="2"/>
        <v>#DIV/0!</v>
      </c>
      <c r="H19">
        <f t="shared" si="3"/>
        <v>0</v>
      </c>
      <c r="I19" s="15">
        <f t="shared" si="4"/>
        <v>0</v>
      </c>
      <c r="J19" s="24"/>
      <c r="K19" s="1">
        <f t="shared" si="5"/>
        <v>0</v>
      </c>
    </row>
    <row r="20" spans="1:11" ht="17.25" thickTop="1">
      <c r="A20" s="10"/>
      <c r="B20" s="11"/>
      <c r="C20" s="17"/>
      <c r="D20" s="1">
        <f t="shared" si="1"/>
        <v>0</v>
      </c>
      <c r="E20" s="5"/>
      <c r="F20" s="8" t="e">
        <f t="shared" si="2"/>
        <v>#DIV/0!</v>
      </c>
      <c r="H20">
        <f t="shared" si="3"/>
        <v>0</v>
      </c>
      <c r="I20" s="15">
        <f t="shared" si="4"/>
        <v>0</v>
      </c>
      <c r="J20" s="24"/>
      <c r="K20" s="1">
        <f t="shared" si="5"/>
        <v>0</v>
      </c>
    </row>
    <row r="21" spans="1:11">
      <c r="A21" s="16"/>
      <c r="B21" s="17"/>
      <c r="C21" s="17"/>
      <c r="D21" s="1"/>
      <c r="E21" s="3"/>
      <c r="F21" s="3"/>
      <c r="H21">
        <f t="shared" si="3"/>
        <v>0</v>
      </c>
      <c r="I21" s="15">
        <f t="shared" si="4"/>
        <v>0</v>
      </c>
      <c r="K21" s="1">
        <f t="shared" si="5"/>
        <v>0</v>
      </c>
    </row>
    <row r="22" spans="1:11">
      <c r="A22" s="16"/>
      <c r="B22" s="17"/>
      <c r="C22" s="17"/>
      <c r="D22" s="1"/>
      <c r="E22" s="3"/>
      <c r="F22" s="3"/>
      <c r="H22">
        <f t="shared" si="3"/>
        <v>0</v>
      </c>
      <c r="I22" s="15">
        <f t="shared" si="4"/>
        <v>0</v>
      </c>
      <c r="K22" s="1">
        <f t="shared" si="5"/>
        <v>0</v>
      </c>
    </row>
    <row r="23" spans="1:11">
      <c r="A23" s="16"/>
      <c r="B23" s="17"/>
      <c r="C23" s="17"/>
      <c r="D23" s="1"/>
      <c r="E23" s="3"/>
      <c r="F23" s="3"/>
      <c r="H23">
        <f t="shared" si="3"/>
        <v>0</v>
      </c>
      <c r="I23" s="15">
        <f t="shared" si="4"/>
        <v>0</v>
      </c>
      <c r="K23" s="1">
        <f t="shared" si="5"/>
        <v>0</v>
      </c>
    </row>
    <row r="24" spans="1:11">
      <c r="A24" s="16"/>
      <c r="B24" s="17"/>
      <c r="C24" s="17"/>
      <c r="D24" s="1"/>
      <c r="E24" s="3"/>
      <c r="F24" s="3"/>
      <c r="H24">
        <f t="shared" si="3"/>
        <v>0</v>
      </c>
      <c r="I24" s="15">
        <f t="shared" si="4"/>
        <v>0</v>
      </c>
      <c r="K24" s="1">
        <f t="shared" si="5"/>
        <v>0</v>
      </c>
    </row>
    <row r="25" spans="1:11">
      <c r="A25" s="16"/>
      <c r="B25" s="17"/>
      <c r="C25" s="17"/>
      <c r="D25" s="1"/>
      <c r="E25" s="3"/>
      <c r="F25" s="3"/>
      <c r="H25">
        <f t="shared" si="3"/>
        <v>0</v>
      </c>
      <c r="I25" s="15">
        <f t="shared" si="4"/>
        <v>0</v>
      </c>
      <c r="K25" s="1">
        <f t="shared" si="5"/>
        <v>0</v>
      </c>
    </row>
    <row r="26" spans="1:11">
      <c r="A26" s="16"/>
      <c r="B26" s="17"/>
      <c r="C26" s="17"/>
      <c r="D26" s="1"/>
      <c r="E26" s="3"/>
      <c r="F26" s="3"/>
      <c r="H26">
        <f t="shared" si="3"/>
        <v>0</v>
      </c>
      <c r="I26" s="15">
        <f t="shared" si="4"/>
        <v>0</v>
      </c>
      <c r="K26" s="1">
        <f t="shared" si="5"/>
        <v>0</v>
      </c>
    </row>
    <row r="27" spans="1:11">
      <c r="A27" s="16"/>
      <c r="B27" s="17"/>
      <c r="C27" s="17"/>
      <c r="D27" s="1"/>
      <c r="E27" s="3"/>
      <c r="F27" s="3"/>
      <c r="H27">
        <f t="shared" si="3"/>
        <v>0</v>
      </c>
      <c r="I27" s="15">
        <f t="shared" si="4"/>
        <v>0</v>
      </c>
      <c r="K27" s="1">
        <f t="shared" si="5"/>
        <v>0</v>
      </c>
    </row>
    <row r="28" spans="1:11">
      <c r="B28" s="9"/>
      <c r="C28" s="9"/>
      <c r="D28" s="1"/>
      <c r="E28" s="3"/>
      <c r="F28" s="3"/>
      <c r="H28">
        <f t="shared" si="3"/>
        <v>0</v>
      </c>
      <c r="I28" s="15">
        <f t="shared" si="4"/>
        <v>0</v>
      </c>
      <c r="K28" s="1">
        <f t="shared" si="5"/>
        <v>0</v>
      </c>
    </row>
    <row r="29" spans="1:11">
      <c r="B29" s="9"/>
      <c r="C29" s="9"/>
      <c r="D29" s="1"/>
      <c r="E29" s="3"/>
      <c r="F29" s="3"/>
      <c r="H29">
        <f t="shared" si="3"/>
        <v>0</v>
      </c>
      <c r="I29" s="15">
        <f t="shared" si="4"/>
        <v>0</v>
      </c>
      <c r="K29" s="1">
        <f t="shared" si="5"/>
        <v>0</v>
      </c>
    </row>
    <row r="30" spans="1:11">
      <c r="B30" s="9"/>
      <c r="C30" s="9"/>
      <c r="D30" s="1"/>
      <c r="E30" s="3"/>
      <c r="F30" s="3"/>
      <c r="H30">
        <f t="shared" si="3"/>
        <v>0</v>
      </c>
      <c r="I30" s="15">
        <f t="shared" si="4"/>
        <v>0</v>
      </c>
      <c r="K30" s="1">
        <f t="shared" si="5"/>
        <v>0</v>
      </c>
    </row>
    <row r="31" spans="1:11">
      <c r="A31" s="9"/>
      <c r="B31" s="9"/>
      <c r="C31" s="9"/>
      <c r="D31" s="1"/>
      <c r="E31" s="3"/>
      <c r="F31" s="3"/>
      <c r="H31" s="25">
        <f>B32</f>
        <v>10525500</v>
      </c>
      <c r="I31" s="18"/>
      <c r="J31" s="18"/>
      <c r="K31" s="5">
        <f>SUM(K2:K30)</f>
        <v>7261100</v>
      </c>
    </row>
    <row r="32" spans="1:11">
      <c r="A32" s="14" t="s">
        <v>4</v>
      </c>
      <c r="B32" s="14">
        <v>10525500</v>
      </c>
      <c r="C32" s="9"/>
      <c r="D32" s="1">
        <f>SUM(D2:D31)</f>
        <v>10525500</v>
      </c>
      <c r="E32" s="5">
        <f>B32-D32</f>
        <v>0</v>
      </c>
      <c r="F32" s="3"/>
      <c r="I32">
        <v>11</v>
      </c>
      <c r="J32">
        <v>25000</v>
      </c>
      <c r="K32" s="1">
        <f>I32*J32</f>
        <v>275000</v>
      </c>
    </row>
    <row r="33" spans="1:11">
      <c r="A33" s="12" t="s">
        <v>46</v>
      </c>
      <c r="B33" s="13">
        <f>B2</f>
        <v>110</v>
      </c>
      <c r="C33" s="12">
        <f>$E$32/B33</f>
        <v>0</v>
      </c>
      <c r="E33" s="6" t="s">
        <v>5</v>
      </c>
      <c r="K33" s="1">
        <f>K31+K32</f>
        <v>7536100</v>
      </c>
    </row>
    <row r="34" spans="1:11">
      <c r="B34" s="13">
        <f>B3</f>
        <v>40</v>
      </c>
      <c r="C34" s="12">
        <f t="shared" ref="C34:C36" si="6">$E$32/B34</f>
        <v>0</v>
      </c>
      <c r="K34" s="27">
        <f>H31-K33</f>
        <v>2989400</v>
      </c>
    </row>
    <row r="35" spans="1:11">
      <c r="B35" s="13">
        <f t="shared" ref="B35:B42" si="7">B4</f>
        <v>40</v>
      </c>
      <c r="C35" s="12">
        <f t="shared" si="6"/>
        <v>0</v>
      </c>
      <c r="K35" s="26">
        <f>K34/H31</f>
        <v>0.28401501116336514</v>
      </c>
    </row>
    <row r="36" spans="1:11">
      <c r="B36" s="13">
        <f t="shared" si="7"/>
        <v>20</v>
      </c>
      <c r="C36" s="12">
        <f t="shared" si="6"/>
        <v>0</v>
      </c>
    </row>
    <row r="37" spans="1:11">
      <c r="B37" s="13">
        <f t="shared" si="7"/>
        <v>32</v>
      </c>
    </row>
    <row r="38" spans="1:11">
      <c r="B38" s="13">
        <f t="shared" si="7"/>
        <v>45</v>
      </c>
      <c r="G38" s="15">
        <v>3110800</v>
      </c>
    </row>
    <row r="39" spans="1:11">
      <c r="B39" s="13">
        <f t="shared" si="7"/>
        <v>25</v>
      </c>
    </row>
    <row r="40" spans="1:11">
      <c r="B40" s="13">
        <f t="shared" si="7"/>
        <v>207</v>
      </c>
    </row>
    <row r="41" spans="1:11">
      <c r="B41" s="13">
        <f t="shared" si="7"/>
        <v>88</v>
      </c>
    </row>
    <row r="42" spans="1:11">
      <c r="B42" s="13">
        <f t="shared" si="7"/>
        <v>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selection activeCell="B42" sqref="B42"/>
    </sheetView>
  </sheetViews>
  <sheetFormatPr defaultRowHeight="16.5"/>
  <cols>
    <col min="1" max="1" width="21.625" style="12" bestFit="1" customWidth="1"/>
    <col min="2" max="2" width="10.875" style="12" bestFit="1" customWidth="1"/>
    <col min="3" max="3" width="9.375" style="12" bestFit="1" customWidth="1"/>
    <col min="4" max="4" width="10.875" bestFit="1" customWidth="1"/>
    <col min="5" max="5" width="12.5" style="4" customWidth="1"/>
    <col min="6" max="6" width="14.125" style="4" bestFit="1" customWidth="1"/>
    <col min="7" max="7" width="10.875" customWidth="1"/>
    <col min="8" max="8" width="26.5" customWidth="1"/>
    <col min="11" max="11" width="14.5" style="1" customWidth="1"/>
  </cols>
  <sheetData>
    <row r="1" spans="1:11">
      <c r="A1" s="9" t="s">
        <v>19</v>
      </c>
      <c r="B1" s="9" t="s">
        <v>1</v>
      </c>
      <c r="C1" s="9" t="s">
        <v>2</v>
      </c>
      <c r="D1" s="1" t="s">
        <v>3</v>
      </c>
      <c r="E1" s="7" t="s">
        <v>6</v>
      </c>
      <c r="F1" s="8" t="s">
        <v>7</v>
      </c>
      <c r="H1" t="s">
        <v>19</v>
      </c>
      <c r="I1" t="s">
        <v>18</v>
      </c>
      <c r="J1" t="s">
        <v>16</v>
      </c>
      <c r="K1" s="1" t="s">
        <v>17</v>
      </c>
    </row>
    <row r="2" spans="1:11" ht="17.25" thickBot="1">
      <c r="A2" s="10" t="s">
        <v>32</v>
      </c>
      <c r="B2" s="11">
        <v>17</v>
      </c>
      <c r="C2" s="29">
        <v>18000</v>
      </c>
      <c r="D2" s="1">
        <f>B2*C2</f>
        <v>306000</v>
      </c>
      <c r="E2" s="5">
        <f t="shared" ref="E2:E20" si="0">D2+$E$32</f>
        <v>521000</v>
      </c>
      <c r="F2" s="8">
        <f>E2/B2</f>
        <v>30647.058823529413</v>
      </c>
      <c r="G2" s="2"/>
      <c r="H2" t="str">
        <f>A2</f>
        <v>돼지고기(목살)/깍둑썰기</v>
      </c>
      <c r="I2" s="15">
        <f>B2</f>
        <v>17</v>
      </c>
      <c r="J2" s="31">
        <v>14000</v>
      </c>
      <c r="K2" s="1">
        <f>I2*J2</f>
        <v>238000</v>
      </c>
    </row>
    <row r="3" spans="1:11" ht="18" thickTop="1" thickBot="1">
      <c r="A3" s="10" t="s">
        <v>27</v>
      </c>
      <c r="B3" s="11">
        <v>16</v>
      </c>
      <c r="C3" s="29">
        <v>18000</v>
      </c>
      <c r="D3" s="1">
        <f t="shared" ref="D3:D20" si="1">B3*C3</f>
        <v>288000</v>
      </c>
      <c r="E3" s="5">
        <f t="shared" si="0"/>
        <v>503000</v>
      </c>
      <c r="F3" s="8">
        <f t="shared" ref="F3:F20" si="2">E3/B3</f>
        <v>31437.5</v>
      </c>
      <c r="G3" s="2"/>
      <c r="H3" t="str">
        <f t="shared" ref="H3:I30" si="3">A3</f>
        <v>돼지고기(목살)/수육용</v>
      </c>
      <c r="I3" s="15">
        <f t="shared" si="3"/>
        <v>16</v>
      </c>
      <c r="J3" s="19">
        <v>14000</v>
      </c>
      <c r="K3" s="1">
        <f t="shared" ref="K3:K30" si="4">I3*J3</f>
        <v>224000</v>
      </c>
    </row>
    <row r="4" spans="1:11" ht="18" thickTop="1" thickBot="1">
      <c r="A4" s="10" t="s">
        <v>12</v>
      </c>
      <c r="B4" s="11">
        <v>17</v>
      </c>
      <c r="C4" s="29">
        <v>15000</v>
      </c>
      <c r="D4" s="1">
        <f t="shared" si="1"/>
        <v>255000</v>
      </c>
      <c r="E4" s="5">
        <f t="shared" si="0"/>
        <v>470000</v>
      </c>
      <c r="F4" s="8">
        <f t="shared" si="2"/>
        <v>27647.058823529413</v>
      </c>
      <c r="G4" s="2"/>
      <c r="H4" t="str">
        <f t="shared" si="3"/>
        <v>돼지고기(앞다리, 전지)/불고기용</v>
      </c>
      <c r="I4" s="15">
        <f t="shared" si="3"/>
        <v>17</v>
      </c>
      <c r="J4" s="19">
        <v>8500</v>
      </c>
      <c r="K4" s="1">
        <f t="shared" si="4"/>
        <v>144500</v>
      </c>
    </row>
    <row r="5" spans="1:11" ht="18" thickTop="1" thickBot="1">
      <c r="A5" s="10" t="s">
        <v>33</v>
      </c>
      <c r="B5" s="11">
        <v>10</v>
      </c>
      <c r="C5" s="29">
        <v>39884</v>
      </c>
      <c r="D5" s="1">
        <f t="shared" si="1"/>
        <v>398840</v>
      </c>
      <c r="E5" s="5">
        <f t="shared" si="0"/>
        <v>613840</v>
      </c>
      <c r="F5" s="8">
        <f t="shared" si="2"/>
        <v>61384</v>
      </c>
      <c r="G5" s="2"/>
      <c r="H5" t="str">
        <f t="shared" si="3"/>
        <v>한우(갈비)/탕용</v>
      </c>
      <c r="I5" s="15">
        <f t="shared" si="3"/>
        <v>10</v>
      </c>
      <c r="J5" s="19">
        <v>30000</v>
      </c>
      <c r="K5" s="1">
        <f t="shared" si="4"/>
        <v>300000</v>
      </c>
    </row>
    <row r="6" spans="1:11" ht="18" thickTop="1" thickBot="1">
      <c r="A6" s="10" t="s">
        <v>34</v>
      </c>
      <c r="B6" s="11">
        <v>16</v>
      </c>
      <c r="C6" s="29">
        <v>43000</v>
      </c>
      <c r="D6" s="1">
        <f t="shared" si="1"/>
        <v>688000</v>
      </c>
      <c r="E6" s="5">
        <f t="shared" si="0"/>
        <v>903000</v>
      </c>
      <c r="F6" s="8">
        <f t="shared" si="2"/>
        <v>56437.5</v>
      </c>
      <c r="G6" s="2"/>
      <c r="H6" t="str">
        <f t="shared" si="3"/>
        <v>한우(사태)</v>
      </c>
      <c r="I6" s="15">
        <f t="shared" si="3"/>
        <v>16</v>
      </c>
      <c r="J6" s="19">
        <v>28000</v>
      </c>
      <c r="K6" s="1">
        <f t="shared" si="4"/>
        <v>448000</v>
      </c>
    </row>
    <row r="7" spans="1:11" ht="18" thickTop="1" thickBot="1">
      <c r="A7" s="10" t="s">
        <v>35</v>
      </c>
      <c r="B7" s="11">
        <v>1</v>
      </c>
      <c r="C7" s="29">
        <v>43000</v>
      </c>
      <c r="D7" s="1">
        <f t="shared" si="1"/>
        <v>43000</v>
      </c>
      <c r="E7" s="5">
        <f t="shared" si="0"/>
        <v>258000</v>
      </c>
      <c r="F7" s="8">
        <f t="shared" si="2"/>
        <v>258000</v>
      </c>
      <c r="G7" s="2"/>
      <c r="H7" t="str">
        <f t="shared" si="3"/>
        <v>한우(설도)/국용</v>
      </c>
      <c r="I7" s="15">
        <f t="shared" si="3"/>
        <v>1</v>
      </c>
      <c r="J7" s="19">
        <v>28000</v>
      </c>
      <c r="K7" s="1">
        <f t="shared" si="4"/>
        <v>28000</v>
      </c>
    </row>
    <row r="8" spans="1:11" ht="18" thickTop="1" thickBot="1">
      <c r="A8" s="10" t="s">
        <v>36</v>
      </c>
      <c r="B8" s="11">
        <v>1</v>
      </c>
      <c r="C8" s="29">
        <v>43000</v>
      </c>
      <c r="D8" s="1">
        <f t="shared" si="1"/>
        <v>43000</v>
      </c>
      <c r="E8" s="5">
        <f t="shared" si="0"/>
        <v>258000</v>
      </c>
      <c r="F8" s="8">
        <f t="shared" si="2"/>
        <v>258000</v>
      </c>
      <c r="G8" s="2"/>
      <c r="H8" t="str">
        <f t="shared" si="3"/>
        <v>한우(설도)/스테이크용</v>
      </c>
      <c r="I8" s="15">
        <f t="shared" si="3"/>
        <v>1</v>
      </c>
      <c r="J8" s="19">
        <v>28000</v>
      </c>
      <c r="K8" s="1">
        <f t="shared" si="4"/>
        <v>28000</v>
      </c>
    </row>
    <row r="9" spans="1:11" ht="18" thickTop="1" thickBot="1">
      <c r="A9" s="10" t="s">
        <v>37</v>
      </c>
      <c r="B9" s="11">
        <v>3</v>
      </c>
      <c r="C9" s="29">
        <v>43000</v>
      </c>
      <c r="D9" s="1">
        <f t="shared" si="1"/>
        <v>129000</v>
      </c>
      <c r="E9" s="5">
        <f t="shared" si="0"/>
        <v>344000</v>
      </c>
      <c r="F9" s="8">
        <f t="shared" si="2"/>
        <v>114666.66666666667</v>
      </c>
      <c r="H9" t="str">
        <f t="shared" si="3"/>
        <v>한우(설도)/채썬것(세절)</v>
      </c>
      <c r="I9" s="15">
        <f t="shared" si="3"/>
        <v>3</v>
      </c>
      <c r="J9" s="19">
        <v>28000</v>
      </c>
      <c r="K9" s="1">
        <f t="shared" si="4"/>
        <v>84000</v>
      </c>
    </row>
    <row r="10" spans="1:11" ht="18" thickTop="1" thickBot="1">
      <c r="A10" s="10" t="s">
        <v>26</v>
      </c>
      <c r="B10" s="11">
        <v>9</v>
      </c>
      <c r="C10" s="29">
        <v>43000</v>
      </c>
      <c r="D10" s="1">
        <f t="shared" si="1"/>
        <v>387000</v>
      </c>
      <c r="E10" s="5">
        <f t="shared" si="0"/>
        <v>602000</v>
      </c>
      <c r="F10" s="8">
        <f t="shared" si="2"/>
        <v>66888.888888888891</v>
      </c>
      <c r="H10" t="str">
        <f t="shared" si="3"/>
        <v>한우(양지)/국용</v>
      </c>
      <c r="I10" s="15">
        <f t="shared" si="3"/>
        <v>9</v>
      </c>
      <c r="J10" s="19">
        <v>28000</v>
      </c>
      <c r="K10" s="1">
        <f t="shared" si="4"/>
        <v>252000</v>
      </c>
    </row>
    <row r="11" spans="1:11" ht="18" thickTop="1" thickBot="1">
      <c r="A11" s="10" t="s">
        <v>15</v>
      </c>
      <c r="B11" s="11">
        <v>9</v>
      </c>
      <c r="C11" s="29">
        <v>43000</v>
      </c>
      <c r="D11" s="1">
        <f t="shared" si="1"/>
        <v>387000</v>
      </c>
      <c r="E11" s="5">
        <f t="shared" si="0"/>
        <v>602000</v>
      </c>
      <c r="F11" s="8">
        <f t="shared" si="2"/>
        <v>66888.888888888891</v>
      </c>
      <c r="H11" t="str">
        <f t="shared" si="3"/>
        <v>한우(우둔)/다진것</v>
      </c>
      <c r="I11" s="15">
        <f t="shared" si="3"/>
        <v>9</v>
      </c>
      <c r="J11" s="19">
        <v>28000</v>
      </c>
      <c r="K11" s="1">
        <f t="shared" si="4"/>
        <v>252000</v>
      </c>
    </row>
    <row r="12" spans="1:11" ht="17.25" thickTop="1">
      <c r="A12" s="10" t="s">
        <v>28</v>
      </c>
      <c r="B12" s="11">
        <v>5</v>
      </c>
      <c r="C12" s="29">
        <v>43000</v>
      </c>
      <c r="D12" s="1" t="s">
        <v>38</v>
      </c>
      <c r="E12" s="5" t="e">
        <f t="shared" si="0"/>
        <v>#VALUE!</v>
      </c>
      <c r="F12" s="8" t="e">
        <f t="shared" si="2"/>
        <v>#VALUE!</v>
      </c>
      <c r="H12" t="str">
        <f t="shared" si="3"/>
        <v>한우(우둔)/채썬것(세절)</v>
      </c>
      <c r="I12" s="15">
        <f t="shared" si="3"/>
        <v>5</v>
      </c>
      <c r="J12" s="19">
        <v>28000</v>
      </c>
      <c r="K12" s="1">
        <f t="shared" si="4"/>
        <v>140000</v>
      </c>
    </row>
    <row r="13" spans="1:11">
      <c r="A13" s="10"/>
      <c r="B13" s="11"/>
      <c r="C13" s="11"/>
      <c r="D13" s="1">
        <f t="shared" si="1"/>
        <v>0</v>
      </c>
      <c r="E13" s="5">
        <f t="shared" si="0"/>
        <v>215000</v>
      </c>
      <c r="F13" s="8" t="e">
        <f t="shared" si="2"/>
        <v>#DIV/0!</v>
      </c>
      <c r="H13">
        <f t="shared" si="3"/>
        <v>0</v>
      </c>
      <c r="I13" s="15">
        <f t="shared" si="3"/>
        <v>0</v>
      </c>
      <c r="J13" s="20"/>
      <c r="K13" s="1">
        <f t="shared" si="4"/>
        <v>0</v>
      </c>
    </row>
    <row r="14" spans="1:11">
      <c r="A14" s="10"/>
      <c r="B14" s="11"/>
      <c r="C14" s="11"/>
      <c r="D14" s="1">
        <f t="shared" si="1"/>
        <v>0</v>
      </c>
      <c r="E14" s="5">
        <f t="shared" si="0"/>
        <v>215000</v>
      </c>
      <c r="F14" s="8" t="e">
        <f t="shared" si="2"/>
        <v>#DIV/0!</v>
      </c>
      <c r="H14">
        <f t="shared" si="3"/>
        <v>0</v>
      </c>
      <c r="I14" s="15">
        <f t="shared" si="3"/>
        <v>0</v>
      </c>
      <c r="J14" s="20"/>
      <c r="K14" s="1">
        <f t="shared" si="4"/>
        <v>0</v>
      </c>
    </row>
    <row r="15" spans="1:11">
      <c r="A15" s="10"/>
      <c r="B15" s="11"/>
      <c r="C15" s="11"/>
      <c r="D15" s="1">
        <f t="shared" si="1"/>
        <v>0</v>
      </c>
      <c r="E15" s="5">
        <f t="shared" si="0"/>
        <v>215000</v>
      </c>
      <c r="F15" s="8" t="e">
        <f t="shared" si="2"/>
        <v>#DIV/0!</v>
      </c>
      <c r="H15">
        <f t="shared" si="3"/>
        <v>0</v>
      </c>
      <c r="I15" s="15">
        <f t="shared" si="3"/>
        <v>0</v>
      </c>
      <c r="J15" s="23"/>
      <c r="K15" s="1">
        <f t="shared" si="4"/>
        <v>0</v>
      </c>
    </row>
    <row r="16" spans="1:11" ht="17.25" thickBot="1">
      <c r="A16" s="10"/>
      <c r="B16" s="11"/>
      <c r="C16" s="17"/>
      <c r="D16" s="1">
        <f t="shared" si="1"/>
        <v>0</v>
      </c>
      <c r="E16" s="5">
        <f t="shared" si="0"/>
        <v>215000</v>
      </c>
      <c r="F16" s="8" t="e">
        <f t="shared" si="2"/>
        <v>#DIV/0!</v>
      </c>
      <c r="H16">
        <f t="shared" si="3"/>
        <v>0</v>
      </c>
      <c r="I16" s="15">
        <f t="shared" si="3"/>
        <v>0</v>
      </c>
      <c r="J16" s="23"/>
      <c r="K16" s="1">
        <f t="shared" si="4"/>
        <v>0</v>
      </c>
    </row>
    <row r="17" spans="1:11" ht="18" thickTop="1" thickBot="1">
      <c r="A17" s="10"/>
      <c r="B17" s="11"/>
      <c r="C17" s="17"/>
      <c r="D17" s="1">
        <f t="shared" si="1"/>
        <v>0</v>
      </c>
      <c r="E17" s="5">
        <f t="shared" si="0"/>
        <v>215000</v>
      </c>
      <c r="F17" s="8" t="e">
        <f t="shared" si="2"/>
        <v>#DIV/0!</v>
      </c>
      <c r="H17">
        <f t="shared" si="3"/>
        <v>0</v>
      </c>
      <c r="I17" s="15">
        <f t="shared" si="3"/>
        <v>0</v>
      </c>
      <c r="J17" s="24"/>
      <c r="K17" s="1">
        <f t="shared" si="4"/>
        <v>0</v>
      </c>
    </row>
    <row r="18" spans="1:11" ht="18" thickTop="1" thickBot="1">
      <c r="A18" s="10"/>
      <c r="B18" s="11"/>
      <c r="C18" s="17"/>
      <c r="D18" s="1">
        <f t="shared" si="1"/>
        <v>0</v>
      </c>
      <c r="E18" s="5">
        <f t="shared" si="0"/>
        <v>215000</v>
      </c>
      <c r="F18" s="8" t="e">
        <f t="shared" si="2"/>
        <v>#DIV/0!</v>
      </c>
      <c r="H18">
        <f t="shared" si="3"/>
        <v>0</v>
      </c>
      <c r="I18" s="15">
        <f t="shared" si="3"/>
        <v>0</v>
      </c>
      <c r="J18" s="24"/>
      <c r="K18" s="1">
        <f t="shared" si="4"/>
        <v>0</v>
      </c>
    </row>
    <row r="19" spans="1:11" ht="18" thickTop="1" thickBot="1">
      <c r="A19" s="10"/>
      <c r="B19" s="11"/>
      <c r="C19" s="17"/>
      <c r="D19" s="1">
        <f t="shared" si="1"/>
        <v>0</v>
      </c>
      <c r="E19" s="5">
        <f t="shared" si="0"/>
        <v>215000</v>
      </c>
      <c r="F19" s="8" t="e">
        <f t="shared" si="2"/>
        <v>#DIV/0!</v>
      </c>
      <c r="H19">
        <f t="shared" si="3"/>
        <v>0</v>
      </c>
      <c r="I19" s="15">
        <f t="shared" si="3"/>
        <v>0</v>
      </c>
      <c r="J19" s="24"/>
      <c r="K19" s="1">
        <f t="shared" si="4"/>
        <v>0</v>
      </c>
    </row>
    <row r="20" spans="1:11" ht="17.25" thickTop="1">
      <c r="A20" s="10"/>
      <c r="B20" s="11"/>
      <c r="C20" s="17"/>
      <c r="D20" s="1">
        <f t="shared" si="1"/>
        <v>0</v>
      </c>
      <c r="E20" s="5">
        <f t="shared" si="0"/>
        <v>215000</v>
      </c>
      <c r="F20" s="8" t="e">
        <f t="shared" si="2"/>
        <v>#DIV/0!</v>
      </c>
      <c r="H20">
        <f t="shared" si="3"/>
        <v>0</v>
      </c>
      <c r="I20" s="15">
        <f t="shared" si="3"/>
        <v>0</v>
      </c>
      <c r="J20" s="24"/>
      <c r="K20" s="1">
        <f t="shared" si="4"/>
        <v>0</v>
      </c>
    </row>
    <row r="21" spans="1:11">
      <c r="A21" s="16"/>
      <c r="B21" s="17"/>
      <c r="C21" s="17"/>
      <c r="D21" s="1"/>
      <c r="E21" s="3"/>
      <c r="F21" s="3"/>
      <c r="H21">
        <f t="shared" si="3"/>
        <v>0</v>
      </c>
      <c r="I21" s="15">
        <f t="shared" si="3"/>
        <v>0</v>
      </c>
      <c r="K21" s="1">
        <f t="shared" si="4"/>
        <v>0</v>
      </c>
    </row>
    <row r="22" spans="1:11">
      <c r="A22" s="16"/>
      <c r="B22" s="17"/>
      <c r="C22" s="17"/>
      <c r="D22" s="1"/>
      <c r="E22" s="3"/>
      <c r="F22" s="3"/>
      <c r="H22">
        <f t="shared" si="3"/>
        <v>0</v>
      </c>
      <c r="I22" s="15">
        <f t="shared" si="3"/>
        <v>0</v>
      </c>
      <c r="K22" s="1">
        <f t="shared" si="4"/>
        <v>0</v>
      </c>
    </row>
    <row r="23" spans="1:11">
      <c r="A23" s="16"/>
      <c r="B23" s="17"/>
      <c r="C23" s="17"/>
      <c r="D23" s="1"/>
      <c r="E23" s="3"/>
      <c r="F23" s="3"/>
      <c r="H23">
        <f t="shared" si="3"/>
        <v>0</v>
      </c>
      <c r="I23" s="15">
        <f t="shared" si="3"/>
        <v>0</v>
      </c>
      <c r="K23" s="1">
        <f t="shared" si="4"/>
        <v>0</v>
      </c>
    </row>
    <row r="24" spans="1:11">
      <c r="A24" s="16"/>
      <c r="B24" s="17"/>
      <c r="C24" s="17"/>
      <c r="D24" s="1"/>
      <c r="E24" s="3"/>
      <c r="F24" s="3"/>
      <c r="H24">
        <f t="shared" si="3"/>
        <v>0</v>
      </c>
      <c r="I24" s="15">
        <f t="shared" si="3"/>
        <v>0</v>
      </c>
      <c r="K24" s="1">
        <f t="shared" si="4"/>
        <v>0</v>
      </c>
    </row>
    <row r="25" spans="1:11">
      <c r="A25" s="16"/>
      <c r="B25" s="17"/>
      <c r="C25" s="17"/>
      <c r="D25" s="1"/>
      <c r="E25" s="3"/>
      <c r="F25" s="3"/>
      <c r="H25">
        <f t="shared" si="3"/>
        <v>0</v>
      </c>
      <c r="I25" s="15">
        <f t="shared" si="3"/>
        <v>0</v>
      </c>
      <c r="K25" s="1">
        <f t="shared" si="4"/>
        <v>0</v>
      </c>
    </row>
    <row r="26" spans="1:11">
      <c r="A26" s="16"/>
      <c r="B26" s="17"/>
      <c r="C26" s="17"/>
      <c r="D26" s="1"/>
      <c r="E26" s="3"/>
      <c r="F26" s="3"/>
      <c r="H26">
        <f t="shared" si="3"/>
        <v>0</v>
      </c>
      <c r="I26" s="15">
        <f t="shared" si="3"/>
        <v>0</v>
      </c>
      <c r="K26" s="1">
        <f t="shared" si="4"/>
        <v>0</v>
      </c>
    </row>
    <row r="27" spans="1:11">
      <c r="A27" s="16"/>
      <c r="B27" s="17"/>
      <c r="C27" s="17"/>
      <c r="D27" s="1"/>
      <c r="E27" s="3"/>
      <c r="F27" s="3"/>
      <c r="H27">
        <f t="shared" si="3"/>
        <v>0</v>
      </c>
      <c r="I27" s="15">
        <f t="shared" si="3"/>
        <v>0</v>
      </c>
      <c r="K27" s="1">
        <f t="shared" si="4"/>
        <v>0</v>
      </c>
    </row>
    <row r="28" spans="1:11">
      <c r="B28" s="9"/>
      <c r="C28" s="9"/>
      <c r="D28" s="1"/>
      <c r="E28" s="3"/>
      <c r="F28" s="3"/>
      <c r="H28">
        <f t="shared" si="3"/>
        <v>0</v>
      </c>
      <c r="I28" s="15">
        <f t="shared" si="3"/>
        <v>0</v>
      </c>
      <c r="K28" s="1">
        <f t="shared" si="4"/>
        <v>0</v>
      </c>
    </row>
    <row r="29" spans="1:11">
      <c r="B29" s="9"/>
      <c r="C29" s="9"/>
      <c r="D29" s="1"/>
      <c r="E29" s="3"/>
      <c r="F29" s="3"/>
      <c r="H29">
        <f t="shared" si="3"/>
        <v>0</v>
      </c>
      <c r="I29" s="15">
        <f t="shared" si="3"/>
        <v>0</v>
      </c>
      <c r="K29" s="1">
        <f t="shared" si="4"/>
        <v>0</v>
      </c>
    </row>
    <row r="30" spans="1:11">
      <c r="B30" s="9"/>
      <c r="C30" s="9"/>
      <c r="D30" s="1"/>
      <c r="E30" s="3"/>
      <c r="F30" s="3"/>
      <c r="H30">
        <f t="shared" si="3"/>
        <v>0</v>
      </c>
      <c r="I30" s="15">
        <f t="shared" si="3"/>
        <v>0</v>
      </c>
      <c r="K30" s="1">
        <f t="shared" si="4"/>
        <v>0</v>
      </c>
    </row>
    <row r="31" spans="1:11">
      <c r="A31" s="9"/>
      <c r="B31" s="9"/>
      <c r="C31" s="9"/>
      <c r="D31" s="1"/>
      <c r="E31" s="3"/>
      <c r="F31" s="3"/>
      <c r="H31" s="25">
        <f>B32</f>
        <v>3139840</v>
      </c>
      <c r="I31" s="18"/>
      <c r="J31" s="18"/>
      <c r="K31" s="5">
        <f>SUM(K2:K30)</f>
        <v>2138500</v>
      </c>
    </row>
    <row r="32" spans="1:11">
      <c r="A32" s="14" t="s">
        <v>4</v>
      </c>
      <c r="B32" s="30">
        <v>3139840</v>
      </c>
      <c r="C32" s="9"/>
      <c r="D32" s="1">
        <f>SUM(D2:D31)</f>
        <v>2924840</v>
      </c>
      <c r="E32" s="5">
        <f>B32-D32</f>
        <v>215000</v>
      </c>
      <c r="F32" s="3"/>
      <c r="I32">
        <v>13</v>
      </c>
      <c r="J32">
        <v>25000</v>
      </c>
      <c r="K32" s="1">
        <f>I32*J32</f>
        <v>325000</v>
      </c>
    </row>
    <row r="33" spans="1:11">
      <c r="A33" s="12" t="s">
        <v>47</v>
      </c>
      <c r="B33" s="13">
        <f>B2</f>
        <v>17</v>
      </c>
      <c r="C33" s="12">
        <f>$E$32/B33</f>
        <v>12647.058823529413</v>
      </c>
      <c r="E33" s="6" t="s">
        <v>5</v>
      </c>
      <c r="K33" s="1">
        <f>K31+K32</f>
        <v>2463500</v>
      </c>
    </row>
    <row r="34" spans="1:11">
      <c r="B34" s="13">
        <f>B3</f>
        <v>16</v>
      </c>
      <c r="C34" s="12">
        <f t="shared" ref="C34:C36" si="5">$E$32/B34</f>
        <v>13437.5</v>
      </c>
      <c r="K34" s="27">
        <f>H31-K33</f>
        <v>676340</v>
      </c>
    </row>
    <row r="35" spans="1:11">
      <c r="B35" s="13">
        <f t="shared" ref="B35:B42" si="6">B4</f>
        <v>17</v>
      </c>
      <c r="C35" s="12">
        <f t="shared" si="5"/>
        <v>12647.058823529413</v>
      </c>
      <c r="K35" s="26">
        <f>K34/H31</f>
        <v>0.21540588055442317</v>
      </c>
    </row>
    <row r="36" spans="1:11">
      <c r="B36" s="13">
        <f t="shared" si="6"/>
        <v>10</v>
      </c>
      <c r="C36" s="12">
        <f t="shared" si="5"/>
        <v>21500</v>
      </c>
    </row>
    <row r="37" spans="1:11">
      <c r="B37" s="13">
        <f t="shared" si="6"/>
        <v>16</v>
      </c>
    </row>
    <row r="38" spans="1:11">
      <c r="B38" s="13">
        <f t="shared" si="6"/>
        <v>1</v>
      </c>
      <c r="G38" s="15">
        <v>3110800</v>
      </c>
    </row>
    <row r="39" spans="1:11">
      <c r="B39" s="13">
        <f t="shared" si="6"/>
        <v>1</v>
      </c>
    </row>
    <row r="40" spans="1:11">
      <c r="B40" s="13">
        <f t="shared" si="6"/>
        <v>3</v>
      </c>
    </row>
    <row r="41" spans="1:11">
      <c r="B41" s="13">
        <f t="shared" si="6"/>
        <v>9</v>
      </c>
    </row>
    <row r="42" spans="1:11">
      <c r="B42" s="13">
        <f t="shared" si="6"/>
        <v>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selection activeCell="A57" sqref="A57"/>
    </sheetView>
  </sheetViews>
  <sheetFormatPr defaultRowHeight="16.5"/>
  <cols>
    <col min="1" max="1" width="21.625" style="12" bestFit="1" customWidth="1"/>
    <col min="2" max="2" width="10.875" style="12" bestFit="1" customWidth="1"/>
    <col min="3" max="3" width="9.375" style="12" bestFit="1" customWidth="1"/>
    <col min="4" max="4" width="10.875" bestFit="1" customWidth="1"/>
    <col min="5" max="5" width="12.5" style="4" customWidth="1"/>
    <col min="6" max="6" width="14.125" style="4" bestFit="1" customWidth="1"/>
    <col min="7" max="7" width="10.875" customWidth="1"/>
    <col min="8" max="8" width="26.5" customWidth="1"/>
    <col min="11" max="11" width="14.5" style="1" customWidth="1"/>
  </cols>
  <sheetData>
    <row r="1" spans="1:11">
      <c r="A1" s="9" t="s">
        <v>19</v>
      </c>
      <c r="B1" s="9" t="s">
        <v>1</v>
      </c>
      <c r="C1" s="9" t="s">
        <v>2</v>
      </c>
      <c r="D1" s="1" t="s">
        <v>3</v>
      </c>
      <c r="E1" s="7" t="s">
        <v>6</v>
      </c>
      <c r="F1" s="8" t="s">
        <v>7</v>
      </c>
      <c r="H1" t="s">
        <v>19</v>
      </c>
      <c r="I1" t="s">
        <v>18</v>
      </c>
      <c r="J1" t="s">
        <v>16</v>
      </c>
      <c r="K1" s="1" t="s">
        <v>17</v>
      </c>
    </row>
    <row r="2" spans="1:11">
      <c r="A2" s="28"/>
      <c r="B2" s="29"/>
      <c r="C2" s="29"/>
      <c r="D2" s="1">
        <f>B2*C2</f>
        <v>0</v>
      </c>
      <c r="E2" s="5">
        <f t="shared" ref="E2:E20" si="0">D2+$E$32</f>
        <v>0</v>
      </c>
      <c r="F2" s="8" t="e">
        <f>E2/B2</f>
        <v>#DIV/0!</v>
      </c>
      <c r="G2" s="2"/>
      <c r="H2">
        <f>A2</f>
        <v>0</v>
      </c>
      <c r="I2" s="15">
        <f>B2</f>
        <v>0</v>
      </c>
      <c r="J2" s="56"/>
      <c r="K2" s="1">
        <f>I2*J2</f>
        <v>0</v>
      </c>
    </row>
    <row r="3" spans="1:11">
      <c r="A3" s="65" t="s">
        <v>39</v>
      </c>
      <c r="B3" s="66">
        <v>5</v>
      </c>
      <c r="C3" s="29">
        <v>15000</v>
      </c>
      <c r="D3" s="1">
        <f t="shared" ref="D3:D20" si="1">B3*C3</f>
        <v>75000</v>
      </c>
      <c r="E3" s="5">
        <f t="shared" si="0"/>
        <v>75000</v>
      </c>
      <c r="F3" s="8">
        <f t="shared" ref="F3:F20" si="2">E3/B3</f>
        <v>15000</v>
      </c>
      <c r="G3" s="2"/>
      <c r="H3" t="str">
        <f t="shared" ref="H3:I30" si="3">A3</f>
        <v>돼지고기(갈비)</v>
      </c>
      <c r="I3" s="15">
        <f t="shared" si="3"/>
        <v>5</v>
      </c>
      <c r="J3" s="64">
        <v>8800</v>
      </c>
      <c r="K3" s="1">
        <f t="shared" ref="K3:K30" si="4">I3*J3</f>
        <v>44000</v>
      </c>
    </row>
    <row r="4" spans="1:11">
      <c r="A4" s="65" t="s">
        <v>40</v>
      </c>
      <c r="B4" s="66">
        <v>7</v>
      </c>
      <c r="C4" s="29">
        <v>12000</v>
      </c>
      <c r="D4" s="1">
        <f t="shared" si="1"/>
        <v>84000</v>
      </c>
      <c r="E4" s="5">
        <f t="shared" si="0"/>
        <v>84000</v>
      </c>
      <c r="F4" s="8">
        <f t="shared" si="2"/>
        <v>12000</v>
      </c>
      <c r="G4" s="2"/>
      <c r="H4" t="str">
        <f t="shared" si="3"/>
        <v>돼지고기(뒷다리, 후지)</v>
      </c>
      <c r="I4" s="15">
        <f t="shared" si="3"/>
        <v>7</v>
      </c>
      <c r="J4" s="64">
        <v>7300</v>
      </c>
      <c r="K4" s="1">
        <f t="shared" si="4"/>
        <v>51100</v>
      </c>
    </row>
    <row r="5" spans="1:11" ht="24">
      <c r="A5" s="65" t="s">
        <v>10</v>
      </c>
      <c r="B5" s="66">
        <v>5</v>
      </c>
      <c r="C5" s="29">
        <v>12000</v>
      </c>
      <c r="D5" s="1">
        <f t="shared" si="1"/>
        <v>60000</v>
      </c>
      <c r="E5" s="5">
        <f t="shared" si="0"/>
        <v>60000</v>
      </c>
      <c r="F5" s="8">
        <f t="shared" si="2"/>
        <v>12000</v>
      </c>
      <c r="G5" s="2"/>
      <c r="H5" t="str">
        <f t="shared" si="3"/>
        <v>돼지고기(뒷다리, 후지)/채썬것(세절)</v>
      </c>
      <c r="I5" s="15">
        <f t="shared" si="3"/>
        <v>5</v>
      </c>
      <c r="J5" s="64">
        <v>7300</v>
      </c>
      <c r="K5" s="1">
        <f t="shared" si="4"/>
        <v>36500</v>
      </c>
    </row>
    <row r="6" spans="1:11">
      <c r="A6" s="65" t="s">
        <v>11</v>
      </c>
      <c r="B6" s="66">
        <v>7</v>
      </c>
      <c r="C6" s="29">
        <v>12000</v>
      </c>
      <c r="D6" s="1">
        <f t="shared" si="1"/>
        <v>84000</v>
      </c>
      <c r="E6" s="5">
        <f t="shared" si="0"/>
        <v>84000</v>
      </c>
      <c r="F6" s="8">
        <f t="shared" si="2"/>
        <v>12000</v>
      </c>
      <c r="G6" s="2"/>
      <c r="H6" t="str">
        <f t="shared" si="3"/>
        <v>돼지고기(뒷다리, 후지)/카레용</v>
      </c>
      <c r="I6" s="15">
        <f t="shared" si="3"/>
        <v>7</v>
      </c>
      <c r="J6" s="21">
        <v>7300</v>
      </c>
      <c r="K6" s="1">
        <f t="shared" si="4"/>
        <v>51100</v>
      </c>
    </row>
    <row r="7" spans="1:11">
      <c r="A7" s="65" t="s">
        <v>41</v>
      </c>
      <c r="B7" s="66">
        <v>201</v>
      </c>
      <c r="C7" s="29">
        <v>15000</v>
      </c>
      <c r="D7" s="1">
        <f t="shared" si="1"/>
        <v>3015000</v>
      </c>
      <c r="E7" s="5">
        <f t="shared" si="0"/>
        <v>3015000</v>
      </c>
      <c r="F7" s="8">
        <f t="shared" si="2"/>
        <v>15000</v>
      </c>
      <c r="G7" s="2"/>
      <c r="H7" t="str">
        <f t="shared" si="3"/>
        <v>돼지고기(앞다리, 전지)</v>
      </c>
      <c r="I7" s="15">
        <f t="shared" si="3"/>
        <v>201</v>
      </c>
      <c r="J7" s="21">
        <v>8500</v>
      </c>
      <c r="K7" s="1">
        <f t="shared" si="4"/>
        <v>1708500</v>
      </c>
    </row>
    <row r="8" spans="1:11">
      <c r="A8" s="65" t="s">
        <v>42</v>
      </c>
      <c r="B8" s="66">
        <v>10</v>
      </c>
      <c r="C8" s="29">
        <v>8000</v>
      </c>
      <c r="D8" s="1">
        <f t="shared" si="1"/>
        <v>80000</v>
      </c>
      <c r="E8" s="5">
        <f t="shared" si="0"/>
        <v>80000</v>
      </c>
      <c r="F8" s="8">
        <f t="shared" si="2"/>
        <v>8000</v>
      </c>
      <c r="G8" s="2"/>
      <c r="H8" t="str">
        <f t="shared" si="3"/>
        <v>돼지단족</v>
      </c>
      <c r="I8" s="15">
        <f t="shared" si="3"/>
        <v>10</v>
      </c>
      <c r="J8" s="21">
        <v>5500</v>
      </c>
      <c r="K8" s="1">
        <f t="shared" si="4"/>
        <v>55000</v>
      </c>
    </row>
    <row r="9" spans="1:11">
      <c r="A9" s="65" t="s">
        <v>14</v>
      </c>
      <c r="B9" s="66">
        <v>20</v>
      </c>
      <c r="C9" s="29">
        <v>3939</v>
      </c>
      <c r="D9" s="1">
        <f t="shared" si="1"/>
        <v>78780</v>
      </c>
      <c r="E9" s="5">
        <f t="shared" si="0"/>
        <v>78780</v>
      </c>
      <c r="F9" s="8">
        <f t="shared" si="2"/>
        <v>3939</v>
      </c>
      <c r="H9" t="str">
        <f t="shared" si="3"/>
        <v>돼지등뼈</v>
      </c>
      <c r="I9" s="15">
        <f t="shared" si="3"/>
        <v>20</v>
      </c>
      <c r="J9" s="20">
        <v>3800</v>
      </c>
      <c r="K9" s="1">
        <f t="shared" si="4"/>
        <v>76000</v>
      </c>
    </row>
    <row r="10" spans="1:11">
      <c r="A10" s="65" t="s">
        <v>43</v>
      </c>
      <c r="B10" s="66">
        <v>3</v>
      </c>
      <c r="C10" s="29">
        <v>42000</v>
      </c>
      <c r="D10" s="1">
        <f t="shared" si="1"/>
        <v>126000</v>
      </c>
      <c r="E10" s="5">
        <f t="shared" si="0"/>
        <v>126000</v>
      </c>
      <c r="F10" s="8">
        <f t="shared" si="2"/>
        <v>42000</v>
      </c>
      <c r="H10" t="str">
        <f t="shared" si="3"/>
        <v>한우(사태)/국산</v>
      </c>
      <c r="I10" s="15">
        <f t="shared" si="3"/>
        <v>3</v>
      </c>
      <c r="J10" s="20">
        <v>29500</v>
      </c>
      <c r="K10" s="1">
        <f t="shared" si="4"/>
        <v>88500</v>
      </c>
    </row>
    <row r="11" spans="1:11">
      <c r="A11" s="65" t="s">
        <v>44</v>
      </c>
      <c r="B11" s="66">
        <v>25</v>
      </c>
      <c r="C11" s="29">
        <v>42000</v>
      </c>
      <c r="D11" s="1">
        <f t="shared" si="1"/>
        <v>1050000</v>
      </c>
      <c r="E11" s="5">
        <f t="shared" si="0"/>
        <v>1050000</v>
      </c>
      <c r="F11" s="8">
        <f t="shared" si="2"/>
        <v>42000</v>
      </c>
      <c r="H11" t="str">
        <f t="shared" si="3"/>
        <v>한우(양지)</v>
      </c>
      <c r="I11" s="15">
        <f t="shared" si="3"/>
        <v>25</v>
      </c>
      <c r="J11" s="20">
        <v>29500</v>
      </c>
      <c r="K11" s="1">
        <f t="shared" si="4"/>
        <v>737500</v>
      </c>
    </row>
    <row r="12" spans="1:11">
      <c r="A12" s="65" t="s">
        <v>45</v>
      </c>
      <c r="B12" s="66">
        <v>3</v>
      </c>
      <c r="C12" s="29">
        <v>42000</v>
      </c>
      <c r="D12" s="1">
        <f t="shared" si="1"/>
        <v>126000</v>
      </c>
      <c r="E12" s="5">
        <f t="shared" si="0"/>
        <v>126000</v>
      </c>
      <c r="F12" s="8">
        <f t="shared" si="2"/>
        <v>42000</v>
      </c>
      <c r="H12" t="str">
        <f t="shared" si="3"/>
        <v>한우(우둔)</v>
      </c>
      <c r="I12" s="15">
        <f t="shared" si="3"/>
        <v>3</v>
      </c>
      <c r="J12" s="20">
        <v>29500</v>
      </c>
      <c r="K12" s="1">
        <f t="shared" si="4"/>
        <v>88500</v>
      </c>
    </row>
    <row r="13" spans="1:11">
      <c r="A13" s="10"/>
      <c r="B13" s="11"/>
      <c r="C13" s="11"/>
      <c r="D13" s="1">
        <f t="shared" si="1"/>
        <v>0</v>
      </c>
      <c r="E13" s="5">
        <f t="shared" si="0"/>
        <v>0</v>
      </c>
      <c r="F13" s="8" t="e">
        <f t="shared" si="2"/>
        <v>#DIV/0!</v>
      </c>
      <c r="H13">
        <f t="shared" si="3"/>
        <v>0</v>
      </c>
      <c r="I13" s="15">
        <f t="shared" si="3"/>
        <v>0</v>
      </c>
      <c r="J13" s="20"/>
      <c r="K13" s="1">
        <f t="shared" si="4"/>
        <v>0</v>
      </c>
    </row>
    <row r="14" spans="1:11">
      <c r="A14" s="10"/>
      <c r="B14" s="11"/>
      <c r="C14" s="11"/>
      <c r="D14" s="1">
        <f t="shared" si="1"/>
        <v>0</v>
      </c>
      <c r="E14" s="5">
        <f t="shared" si="0"/>
        <v>0</v>
      </c>
      <c r="F14" s="8" t="e">
        <f t="shared" si="2"/>
        <v>#DIV/0!</v>
      </c>
      <c r="H14">
        <f t="shared" si="3"/>
        <v>0</v>
      </c>
      <c r="I14" s="15">
        <f t="shared" si="3"/>
        <v>0</v>
      </c>
      <c r="J14" s="20"/>
      <c r="K14" s="1">
        <f t="shared" si="4"/>
        <v>0</v>
      </c>
    </row>
    <row r="15" spans="1:11">
      <c r="A15" s="10"/>
      <c r="B15" s="11"/>
      <c r="C15" s="11"/>
      <c r="D15" s="1">
        <f t="shared" si="1"/>
        <v>0</v>
      </c>
      <c r="E15" s="5">
        <f t="shared" si="0"/>
        <v>0</v>
      </c>
      <c r="F15" s="8" t="e">
        <f t="shared" si="2"/>
        <v>#DIV/0!</v>
      </c>
      <c r="H15">
        <f t="shared" si="3"/>
        <v>0</v>
      </c>
      <c r="I15" s="15">
        <f t="shared" si="3"/>
        <v>0</v>
      </c>
      <c r="J15" s="23"/>
      <c r="K15" s="1">
        <f t="shared" si="4"/>
        <v>0</v>
      </c>
    </row>
    <row r="16" spans="1:11" ht="17.25" thickBot="1">
      <c r="A16" s="10"/>
      <c r="B16" s="11"/>
      <c r="C16" s="17"/>
      <c r="D16" s="1">
        <f t="shared" si="1"/>
        <v>0</v>
      </c>
      <c r="E16" s="5">
        <f t="shared" si="0"/>
        <v>0</v>
      </c>
      <c r="F16" s="8" t="e">
        <f t="shared" si="2"/>
        <v>#DIV/0!</v>
      </c>
      <c r="H16">
        <f t="shared" si="3"/>
        <v>0</v>
      </c>
      <c r="I16" s="15">
        <f t="shared" si="3"/>
        <v>0</v>
      </c>
      <c r="J16" s="23"/>
      <c r="K16" s="1">
        <f t="shared" si="4"/>
        <v>0</v>
      </c>
    </row>
    <row r="17" spans="1:11" ht="18" thickTop="1" thickBot="1">
      <c r="A17" s="10"/>
      <c r="B17" s="11"/>
      <c r="C17" s="17"/>
      <c r="D17" s="1">
        <f t="shared" si="1"/>
        <v>0</v>
      </c>
      <c r="E17" s="5">
        <f t="shared" si="0"/>
        <v>0</v>
      </c>
      <c r="F17" s="8" t="e">
        <f t="shared" si="2"/>
        <v>#DIV/0!</v>
      </c>
      <c r="H17">
        <f t="shared" si="3"/>
        <v>0</v>
      </c>
      <c r="I17" s="15">
        <f t="shared" si="3"/>
        <v>0</v>
      </c>
      <c r="J17" s="24"/>
      <c r="K17" s="1">
        <f t="shared" si="4"/>
        <v>0</v>
      </c>
    </row>
    <row r="18" spans="1:11" ht="18" thickTop="1" thickBot="1">
      <c r="A18" s="10"/>
      <c r="B18" s="11"/>
      <c r="C18" s="17"/>
      <c r="D18" s="1">
        <f t="shared" si="1"/>
        <v>0</v>
      </c>
      <c r="E18" s="5">
        <f t="shared" si="0"/>
        <v>0</v>
      </c>
      <c r="F18" s="8" t="e">
        <f t="shared" si="2"/>
        <v>#DIV/0!</v>
      </c>
      <c r="H18">
        <f t="shared" si="3"/>
        <v>0</v>
      </c>
      <c r="I18" s="15">
        <f t="shared" si="3"/>
        <v>0</v>
      </c>
      <c r="J18" s="24"/>
      <c r="K18" s="1">
        <f t="shared" si="4"/>
        <v>0</v>
      </c>
    </row>
    <row r="19" spans="1:11" ht="18" thickTop="1" thickBot="1">
      <c r="A19" s="10"/>
      <c r="B19" s="11"/>
      <c r="C19" s="17"/>
      <c r="D19" s="1">
        <f t="shared" si="1"/>
        <v>0</v>
      </c>
      <c r="E19" s="5">
        <f t="shared" si="0"/>
        <v>0</v>
      </c>
      <c r="F19" s="8" t="e">
        <f t="shared" si="2"/>
        <v>#DIV/0!</v>
      </c>
      <c r="H19">
        <f t="shared" si="3"/>
        <v>0</v>
      </c>
      <c r="I19" s="15">
        <f t="shared" si="3"/>
        <v>0</v>
      </c>
      <c r="J19" s="24"/>
      <c r="K19" s="1">
        <f t="shared" si="4"/>
        <v>0</v>
      </c>
    </row>
    <row r="20" spans="1:11" ht="17.25" thickTop="1">
      <c r="A20" s="10"/>
      <c r="B20" s="11"/>
      <c r="C20" s="17"/>
      <c r="D20" s="1">
        <f t="shared" si="1"/>
        <v>0</v>
      </c>
      <c r="E20" s="5">
        <f t="shared" si="0"/>
        <v>0</v>
      </c>
      <c r="F20" s="8" t="e">
        <f t="shared" si="2"/>
        <v>#DIV/0!</v>
      </c>
      <c r="H20">
        <f t="shared" si="3"/>
        <v>0</v>
      </c>
      <c r="I20" s="15">
        <f t="shared" si="3"/>
        <v>0</v>
      </c>
      <c r="J20" s="24"/>
      <c r="K20" s="1">
        <f t="shared" si="4"/>
        <v>0</v>
      </c>
    </row>
    <row r="21" spans="1:11">
      <c r="A21" s="16"/>
      <c r="B21" s="17"/>
      <c r="C21" s="17"/>
      <c r="D21" s="1"/>
      <c r="E21" s="3"/>
      <c r="F21" s="3"/>
      <c r="H21">
        <f t="shared" si="3"/>
        <v>0</v>
      </c>
      <c r="I21" s="15">
        <f t="shared" si="3"/>
        <v>0</v>
      </c>
      <c r="K21" s="1">
        <f t="shared" si="4"/>
        <v>0</v>
      </c>
    </row>
    <row r="22" spans="1:11">
      <c r="A22" s="16"/>
      <c r="B22" s="17"/>
      <c r="C22" s="17"/>
      <c r="D22" s="1"/>
      <c r="E22" s="3"/>
      <c r="F22" s="3"/>
      <c r="H22">
        <f t="shared" si="3"/>
        <v>0</v>
      </c>
      <c r="I22" s="15">
        <f t="shared" si="3"/>
        <v>0</v>
      </c>
      <c r="K22" s="1">
        <f t="shared" si="4"/>
        <v>0</v>
      </c>
    </row>
    <row r="23" spans="1:11" hidden="1">
      <c r="A23" s="16"/>
      <c r="B23" s="17"/>
      <c r="C23" s="17"/>
      <c r="D23" s="1"/>
      <c r="E23" s="3"/>
      <c r="F23" s="3"/>
      <c r="H23">
        <f t="shared" si="3"/>
        <v>0</v>
      </c>
      <c r="I23" s="15">
        <f t="shared" si="3"/>
        <v>0</v>
      </c>
      <c r="K23" s="1">
        <f t="shared" si="4"/>
        <v>0</v>
      </c>
    </row>
    <row r="24" spans="1:11" hidden="1">
      <c r="A24" s="16"/>
      <c r="B24" s="17"/>
      <c r="C24" s="17"/>
      <c r="D24" s="1"/>
      <c r="E24" s="3"/>
      <c r="F24" s="3"/>
      <c r="H24">
        <f t="shared" si="3"/>
        <v>0</v>
      </c>
      <c r="I24" s="15">
        <f t="shared" si="3"/>
        <v>0</v>
      </c>
      <c r="K24" s="1">
        <f t="shared" si="4"/>
        <v>0</v>
      </c>
    </row>
    <row r="25" spans="1:11" hidden="1">
      <c r="A25" s="16"/>
      <c r="B25" s="17"/>
      <c r="C25" s="17"/>
      <c r="D25" s="1"/>
      <c r="E25" s="3"/>
      <c r="F25" s="3"/>
      <c r="H25">
        <f t="shared" si="3"/>
        <v>0</v>
      </c>
      <c r="I25" s="15">
        <f t="shared" si="3"/>
        <v>0</v>
      </c>
      <c r="K25" s="1">
        <f t="shared" si="4"/>
        <v>0</v>
      </c>
    </row>
    <row r="26" spans="1:11" hidden="1">
      <c r="A26" s="16"/>
      <c r="B26" s="17"/>
      <c r="C26" s="17"/>
      <c r="D26" s="1"/>
      <c r="E26" s="3"/>
      <c r="F26" s="3"/>
      <c r="H26">
        <f t="shared" si="3"/>
        <v>0</v>
      </c>
      <c r="I26" s="15">
        <f t="shared" si="3"/>
        <v>0</v>
      </c>
      <c r="K26" s="1">
        <f t="shared" si="4"/>
        <v>0</v>
      </c>
    </row>
    <row r="27" spans="1:11" hidden="1">
      <c r="A27" s="16"/>
      <c r="B27" s="17"/>
      <c r="C27" s="17"/>
      <c r="D27" s="1"/>
      <c r="E27" s="3"/>
      <c r="F27" s="3"/>
      <c r="H27">
        <f t="shared" si="3"/>
        <v>0</v>
      </c>
      <c r="I27" s="15">
        <f t="shared" si="3"/>
        <v>0</v>
      </c>
      <c r="K27" s="1">
        <f t="shared" si="4"/>
        <v>0</v>
      </c>
    </row>
    <row r="28" spans="1:11" hidden="1">
      <c r="B28" s="9"/>
      <c r="C28" s="9"/>
      <c r="D28" s="1"/>
      <c r="E28" s="3"/>
      <c r="F28" s="3"/>
      <c r="H28">
        <f t="shared" si="3"/>
        <v>0</v>
      </c>
      <c r="I28" s="15">
        <f t="shared" si="3"/>
        <v>0</v>
      </c>
      <c r="K28" s="1">
        <f t="shared" si="4"/>
        <v>0</v>
      </c>
    </row>
    <row r="29" spans="1:11" hidden="1">
      <c r="B29" s="9"/>
      <c r="C29" s="9"/>
      <c r="D29" s="1"/>
      <c r="E29" s="3"/>
      <c r="F29" s="3"/>
      <c r="H29">
        <f t="shared" si="3"/>
        <v>0</v>
      </c>
      <c r="I29" s="15">
        <f t="shared" si="3"/>
        <v>0</v>
      </c>
      <c r="K29" s="1">
        <f t="shared" si="4"/>
        <v>0</v>
      </c>
    </row>
    <row r="30" spans="1:11" hidden="1">
      <c r="B30" s="9"/>
      <c r="C30" s="9"/>
      <c r="D30" s="1"/>
      <c r="E30" s="3"/>
      <c r="F30" s="3"/>
      <c r="H30">
        <f t="shared" si="3"/>
        <v>0</v>
      </c>
      <c r="I30" s="15">
        <f t="shared" si="3"/>
        <v>0</v>
      </c>
      <c r="K30" s="1">
        <f t="shared" si="4"/>
        <v>0</v>
      </c>
    </row>
    <row r="31" spans="1:11">
      <c r="A31" s="9"/>
      <c r="B31" s="9"/>
      <c r="C31" s="9"/>
      <c r="D31" s="1"/>
      <c r="E31" s="3"/>
      <c r="F31" s="3"/>
      <c r="H31" s="25">
        <f>B32</f>
        <v>4778780</v>
      </c>
      <c r="I31" s="18"/>
      <c r="J31" s="18"/>
      <c r="K31" s="5">
        <f>SUM(K2:K30)</f>
        <v>2936700</v>
      </c>
    </row>
    <row r="32" spans="1:11">
      <c r="A32" s="14" t="s">
        <v>4</v>
      </c>
      <c r="B32" s="29">
        <v>4778780</v>
      </c>
      <c r="C32" s="9"/>
      <c r="D32" s="1">
        <f>SUM(D2:D31)</f>
        <v>4778780</v>
      </c>
      <c r="E32" s="5">
        <f>B32-D32</f>
        <v>0</v>
      </c>
      <c r="F32" s="3"/>
      <c r="I32">
        <v>11</v>
      </c>
      <c r="J32">
        <v>25000</v>
      </c>
      <c r="K32" s="1">
        <f>I32*J32</f>
        <v>275000</v>
      </c>
    </row>
    <row r="33" spans="1:11">
      <c r="A33" s="12" t="s">
        <v>48</v>
      </c>
      <c r="B33" s="13">
        <f>B2</f>
        <v>0</v>
      </c>
      <c r="C33" s="12" t="e">
        <f>$E$32/B33</f>
        <v>#DIV/0!</v>
      </c>
      <c r="E33" s="6" t="s">
        <v>5</v>
      </c>
      <c r="K33" s="1">
        <f>K31+K32</f>
        <v>3211700</v>
      </c>
    </row>
    <row r="34" spans="1:11">
      <c r="B34" s="13">
        <f>B3</f>
        <v>5</v>
      </c>
      <c r="C34" s="12">
        <f t="shared" ref="C34:C36" si="5">$E$32/B34</f>
        <v>0</v>
      </c>
      <c r="K34" s="27">
        <f>H31-K33</f>
        <v>1567080</v>
      </c>
    </row>
    <row r="35" spans="1:11">
      <c r="B35" s="13">
        <f t="shared" ref="B35:B42" si="6">B4</f>
        <v>7</v>
      </c>
      <c r="C35" s="12">
        <f t="shared" si="5"/>
        <v>0</v>
      </c>
      <c r="K35" s="26">
        <f>K34/H31</f>
        <v>0.32792470044655747</v>
      </c>
    </row>
    <row r="36" spans="1:11">
      <c r="B36" s="13">
        <f t="shared" si="6"/>
        <v>5</v>
      </c>
      <c r="C36" s="12">
        <f t="shared" si="5"/>
        <v>0</v>
      </c>
    </row>
    <row r="37" spans="1:11">
      <c r="B37" s="13">
        <f t="shared" si="6"/>
        <v>7</v>
      </c>
    </row>
    <row r="38" spans="1:11">
      <c r="B38" s="13">
        <f t="shared" si="6"/>
        <v>201</v>
      </c>
      <c r="G38" s="15">
        <v>3110800</v>
      </c>
    </row>
    <row r="39" spans="1:11">
      <c r="B39" s="13">
        <f t="shared" si="6"/>
        <v>10</v>
      </c>
    </row>
    <row r="40" spans="1:11">
      <c r="B40" s="13">
        <f t="shared" si="6"/>
        <v>20</v>
      </c>
    </row>
    <row r="41" spans="1:11">
      <c r="B41" s="13">
        <f t="shared" si="6"/>
        <v>3</v>
      </c>
    </row>
    <row r="42" spans="1:11">
      <c r="B42" s="13">
        <f t="shared" si="6"/>
        <v>25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selection activeCell="I33" sqref="I33"/>
    </sheetView>
  </sheetViews>
  <sheetFormatPr defaultRowHeight="16.5"/>
  <cols>
    <col min="1" max="1" width="21.625" style="12" bestFit="1" customWidth="1"/>
    <col min="2" max="2" width="10.875" style="12" bestFit="1" customWidth="1"/>
    <col min="3" max="3" width="9.375" style="12" bestFit="1" customWidth="1"/>
    <col min="4" max="4" width="10.875" bestFit="1" customWidth="1"/>
    <col min="5" max="5" width="12.5" style="4" customWidth="1"/>
    <col min="6" max="6" width="14.125" style="4" bestFit="1" customWidth="1"/>
    <col min="7" max="7" width="10.875" customWidth="1"/>
    <col min="8" max="8" width="26.5" customWidth="1"/>
    <col min="11" max="11" width="14.5" style="1" customWidth="1"/>
  </cols>
  <sheetData>
    <row r="1" spans="1:11">
      <c r="A1" s="9" t="s">
        <v>19</v>
      </c>
      <c r="B1" s="9" t="s">
        <v>1</v>
      </c>
      <c r="C1" s="9" t="s">
        <v>2</v>
      </c>
      <c r="D1" s="1" t="s">
        <v>3</v>
      </c>
      <c r="E1" s="7" t="s">
        <v>6</v>
      </c>
      <c r="F1" s="8" t="s">
        <v>7</v>
      </c>
      <c r="H1" t="s">
        <v>19</v>
      </c>
      <c r="I1" t="s">
        <v>18</v>
      </c>
      <c r="J1" t="s">
        <v>16</v>
      </c>
      <c r="K1" s="1" t="s">
        <v>17</v>
      </c>
    </row>
    <row r="2" spans="1:11" ht="17.25" thickBot="1">
      <c r="A2" s="10" t="s">
        <v>25</v>
      </c>
      <c r="B2" s="68">
        <v>15</v>
      </c>
      <c r="C2" s="29">
        <v>18000</v>
      </c>
      <c r="D2" s="1">
        <f>B2*C2</f>
        <v>270000</v>
      </c>
      <c r="E2" s="5">
        <f t="shared" ref="E2:E20" si="0">D2+$E$32</f>
        <v>270000</v>
      </c>
      <c r="F2" s="8">
        <f>E2/B2</f>
        <v>18000</v>
      </c>
      <c r="G2" s="2"/>
      <c r="H2" t="str">
        <f>A2</f>
        <v>돼지고기(갈비)/찜용</v>
      </c>
      <c r="I2" s="67">
        <v>15</v>
      </c>
      <c r="J2" s="31">
        <v>8800</v>
      </c>
      <c r="K2" s="1">
        <f>I2*J2</f>
        <v>132000</v>
      </c>
    </row>
    <row r="3" spans="1:11" ht="18" thickTop="1" thickBot="1">
      <c r="A3" s="10" t="s">
        <v>11</v>
      </c>
      <c r="B3" s="68">
        <v>0</v>
      </c>
      <c r="C3" s="29">
        <v>12000</v>
      </c>
      <c r="D3" s="1">
        <f t="shared" ref="D3:D20" si="1">B3*C3</f>
        <v>0</v>
      </c>
      <c r="E3" s="5">
        <f t="shared" si="0"/>
        <v>0</v>
      </c>
      <c r="F3" s="8" t="e">
        <f t="shared" ref="F3:F20" si="2">E3/B3</f>
        <v>#DIV/0!</v>
      </c>
      <c r="G3" s="2"/>
      <c r="H3" t="str">
        <f t="shared" ref="H3:I30" si="3">A3</f>
        <v>돼지고기(뒷다리, 후지)/카레용</v>
      </c>
      <c r="I3" s="67">
        <v>0</v>
      </c>
      <c r="J3" s="19">
        <v>7300</v>
      </c>
      <c r="K3" s="1">
        <f t="shared" ref="K3:K30" si="4">I3*J3</f>
        <v>0</v>
      </c>
    </row>
    <row r="4" spans="1:11" ht="18" thickTop="1" thickBot="1">
      <c r="A4" s="10" t="s">
        <v>27</v>
      </c>
      <c r="B4" s="68">
        <v>58</v>
      </c>
      <c r="C4" s="29">
        <v>21000</v>
      </c>
      <c r="D4" s="1">
        <f t="shared" si="1"/>
        <v>1218000</v>
      </c>
      <c r="E4" s="5">
        <f t="shared" si="0"/>
        <v>1218000</v>
      </c>
      <c r="F4" s="8">
        <f t="shared" si="2"/>
        <v>21000</v>
      </c>
      <c r="G4" s="2"/>
      <c r="H4" t="str">
        <f t="shared" si="3"/>
        <v>돼지고기(목살)/수육용</v>
      </c>
      <c r="I4" s="67">
        <v>58</v>
      </c>
      <c r="J4" s="19">
        <v>14000</v>
      </c>
      <c r="K4" s="1">
        <f t="shared" si="4"/>
        <v>812000</v>
      </c>
    </row>
    <row r="5" spans="1:11" ht="17.25" thickTop="1">
      <c r="A5" s="10" t="s">
        <v>49</v>
      </c>
      <c r="B5" s="68">
        <v>70</v>
      </c>
      <c r="C5" s="29">
        <v>21000</v>
      </c>
      <c r="D5" s="1">
        <f t="shared" si="1"/>
        <v>1470000</v>
      </c>
      <c r="E5" s="5">
        <f t="shared" si="0"/>
        <v>1470000</v>
      </c>
      <c r="F5" s="8">
        <f t="shared" si="2"/>
        <v>21000</v>
      </c>
      <c r="G5" s="2"/>
      <c r="H5" t="str">
        <f t="shared" si="3"/>
        <v>돼지고기(목살)/스테이크용</v>
      </c>
      <c r="I5" s="67">
        <v>70</v>
      </c>
      <c r="J5" s="19">
        <v>14000</v>
      </c>
      <c r="K5" s="1">
        <f t="shared" si="4"/>
        <v>980000</v>
      </c>
    </row>
    <row r="6" spans="1:11">
      <c r="A6" s="10" t="s">
        <v>50</v>
      </c>
      <c r="B6" s="68">
        <v>0</v>
      </c>
      <c r="C6" s="29">
        <f t="shared" ref="C6:C13" si="5">J6*2</f>
        <v>35000</v>
      </c>
      <c r="D6" s="1">
        <f t="shared" si="1"/>
        <v>0</v>
      </c>
      <c r="E6" s="5">
        <f t="shared" si="0"/>
        <v>0</v>
      </c>
      <c r="F6" s="8" t="e">
        <f t="shared" si="2"/>
        <v>#DIV/0!</v>
      </c>
      <c r="G6" s="2"/>
      <c r="H6" t="str">
        <f t="shared" si="3"/>
        <v>돼지고기(삼겹살)/불고기용</v>
      </c>
      <c r="I6" s="67">
        <v>0</v>
      </c>
      <c r="J6" s="21">
        <v>17500</v>
      </c>
      <c r="K6" s="1">
        <f t="shared" si="4"/>
        <v>0</v>
      </c>
    </row>
    <row r="7" spans="1:11">
      <c r="A7" s="10" t="s">
        <v>12</v>
      </c>
      <c r="B7" s="68">
        <v>130</v>
      </c>
      <c r="C7" s="29">
        <v>14000</v>
      </c>
      <c r="D7" s="1">
        <f t="shared" si="1"/>
        <v>1820000</v>
      </c>
      <c r="E7" s="5">
        <f t="shared" si="0"/>
        <v>1820000</v>
      </c>
      <c r="F7" s="8">
        <f t="shared" si="2"/>
        <v>14000</v>
      </c>
      <c r="G7" s="2"/>
      <c r="H7" t="str">
        <f t="shared" si="3"/>
        <v>돼지고기(앞다리, 전지)/불고기용</v>
      </c>
      <c r="I7" s="67">
        <v>130</v>
      </c>
      <c r="J7" s="21">
        <v>8500</v>
      </c>
      <c r="K7" s="1">
        <f t="shared" si="4"/>
        <v>1105000</v>
      </c>
    </row>
    <row r="8" spans="1:11">
      <c r="A8" s="10" t="s">
        <v>51</v>
      </c>
      <c r="B8" s="68">
        <v>0</v>
      </c>
      <c r="C8" s="29">
        <v>14000</v>
      </c>
      <c r="D8" s="1">
        <f t="shared" si="1"/>
        <v>0</v>
      </c>
      <c r="E8" s="5">
        <f t="shared" si="0"/>
        <v>0</v>
      </c>
      <c r="F8" s="8" t="e">
        <f t="shared" si="2"/>
        <v>#DIV/0!</v>
      </c>
      <c r="G8" s="2"/>
      <c r="H8" t="str">
        <f t="shared" si="3"/>
        <v>돼지고기(앞다리, 전지)/찌개용</v>
      </c>
      <c r="I8" s="67">
        <v>0</v>
      </c>
      <c r="J8" s="21">
        <v>8500</v>
      </c>
      <c r="K8" s="1">
        <f t="shared" si="4"/>
        <v>0</v>
      </c>
    </row>
    <row r="9" spans="1:11" ht="24">
      <c r="A9" s="10" t="s">
        <v>52</v>
      </c>
      <c r="B9" s="68">
        <v>16</v>
      </c>
      <c r="C9" s="29">
        <v>14000</v>
      </c>
      <c r="D9" s="1">
        <f t="shared" si="1"/>
        <v>224000</v>
      </c>
      <c r="E9" s="5">
        <f t="shared" si="0"/>
        <v>224000</v>
      </c>
      <c r="F9" s="8">
        <f t="shared" si="2"/>
        <v>14000</v>
      </c>
      <c r="H9" t="str">
        <f t="shared" si="3"/>
        <v>돼지고기(앞다리, 전지)/채썬것(세절)</v>
      </c>
      <c r="I9" s="67">
        <v>16</v>
      </c>
      <c r="J9" s="21">
        <v>8500</v>
      </c>
      <c r="K9" s="1">
        <f t="shared" si="4"/>
        <v>136000</v>
      </c>
    </row>
    <row r="10" spans="1:11">
      <c r="A10" s="10" t="s">
        <v>13</v>
      </c>
      <c r="B10" s="68">
        <v>0</v>
      </c>
      <c r="C10" s="29">
        <v>15877</v>
      </c>
      <c r="D10" s="1">
        <f t="shared" si="1"/>
        <v>0</v>
      </c>
      <c r="E10" s="5">
        <f t="shared" si="0"/>
        <v>0</v>
      </c>
      <c r="F10" s="8" t="e">
        <f t="shared" si="2"/>
        <v>#DIV/0!</v>
      </c>
      <c r="H10" t="str">
        <f t="shared" si="3"/>
        <v>돼지고기(앞다리, 전지)/편육용</v>
      </c>
      <c r="I10" s="67">
        <v>0</v>
      </c>
      <c r="J10" s="21">
        <v>8200</v>
      </c>
      <c r="K10" s="1">
        <f t="shared" si="4"/>
        <v>0</v>
      </c>
    </row>
    <row r="11" spans="1:11">
      <c r="A11" s="10" t="s">
        <v>14</v>
      </c>
      <c r="B11" s="68">
        <v>43</v>
      </c>
      <c r="C11" s="29">
        <f t="shared" si="5"/>
        <v>7600</v>
      </c>
      <c r="D11" s="1">
        <f t="shared" si="1"/>
        <v>326800</v>
      </c>
      <c r="E11" s="5">
        <f t="shared" si="0"/>
        <v>326800</v>
      </c>
      <c r="F11" s="8">
        <f t="shared" si="2"/>
        <v>7600</v>
      </c>
      <c r="H11" t="str">
        <f t="shared" si="3"/>
        <v>돼지등뼈</v>
      </c>
      <c r="I11" s="67">
        <v>43</v>
      </c>
      <c r="J11" s="20">
        <v>3800</v>
      </c>
      <c r="K11" s="1">
        <f t="shared" si="4"/>
        <v>163400</v>
      </c>
    </row>
    <row r="12" spans="1:11">
      <c r="A12" s="10" t="s">
        <v>53</v>
      </c>
      <c r="B12" s="68">
        <v>48</v>
      </c>
      <c r="C12" s="29">
        <f t="shared" si="5"/>
        <v>3600</v>
      </c>
      <c r="D12" s="1">
        <f t="shared" si="1"/>
        <v>172800</v>
      </c>
      <c r="E12" s="5">
        <f t="shared" si="0"/>
        <v>172800</v>
      </c>
      <c r="F12" s="8">
        <f t="shared" si="2"/>
        <v>3600</v>
      </c>
      <c r="H12" t="str">
        <f t="shared" si="3"/>
        <v>돼지잡뼈/냉동</v>
      </c>
      <c r="I12" s="67">
        <v>48</v>
      </c>
      <c r="J12" s="58">
        <v>1800</v>
      </c>
      <c r="K12" s="1">
        <f t="shared" si="4"/>
        <v>86400</v>
      </c>
    </row>
    <row r="13" spans="1:11">
      <c r="A13" s="10" t="s">
        <v>54</v>
      </c>
      <c r="B13" s="68">
        <v>10</v>
      </c>
      <c r="C13" s="29">
        <f t="shared" si="5"/>
        <v>11000</v>
      </c>
      <c r="D13" s="1">
        <f t="shared" si="1"/>
        <v>110000</v>
      </c>
      <c r="E13" s="5">
        <f t="shared" si="0"/>
        <v>110000</v>
      </c>
      <c r="F13" s="8">
        <f t="shared" si="2"/>
        <v>11000</v>
      </c>
      <c r="H13" t="str">
        <f t="shared" si="3"/>
        <v>돼지족발</v>
      </c>
      <c r="I13" s="67">
        <v>10</v>
      </c>
      <c r="J13" s="20">
        <v>5500</v>
      </c>
      <c r="K13" s="1">
        <f t="shared" si="4"/>
        <v>55000</v>
      </c>
    </row>
    <row r="14" spans="1:11">
      <c r="A14" s="10" t="s">
        <v>26</v>
      </c>
      <c r="B14" s="68">
        <v>23</v>
      </c>
      <c r="C14" s="29">
        <v>41000</v>
      </c>
      <c r="D14" s="1">
        <f t="shared" si="1"/>
        <v>943000</v>
      </c>
      <c r="E14" s="5">
        <f t="shared" si="0"/>
        <v>943000</v>
      </c>
      <c r="F14" s="8">
        <f t="shared" si="2"/>
        <v>41000</v>
      </c>
      <c r="H14" t="str">
        <f t="shared" si="3"/>
        <v>한우(양지)/국용</v>
      </c>
      <c r="I14" s="67">
        <v>23</v>
      </c>
      <c r="J14" s="20">
        <v>28000</v>
      </c>
      <c r="K14" s="1">
        <f t="shared" si="4"/>
        <v>644000</v>
      </c>
    </row>
    <row r="15" spans="1:11">
      <c r="A15" s="10" t="s">
        <v>15</v>
      </c>
      <c r="B15" s="68">
        <v>0</v>
      </c>
      <c r="C15" s="29">
        <v>41000</v>
      </c>
      <c r="D15" s="1">
        <f t="shared" si="1"/>
        <v>0</v>
      </c>
      <c r="E15" s="5">
        <f t="shared" si="0"/>
        <v>0</v>
      </c>
      <c r="F15" s="8" t="e">
        <f t="shared" si="2"/>
        <v>#DIV/0!</v>
      </c>
      <c r="H15" t="str">
        <f t="shared" si="3"/>
        <v>한우(우둔)/다진것</v>
      </c>
      <c r="I15" s="67">
        <v>0</v>
      </c>
      <c r="J15" s="20">
        <v>28000</v>
      </c>
      <c r="K15" s="1">
        <f t="shared" si="4"/>
        <v>0</v>
      </c>
    </row>
    <row r="16" spans="1:11">
      <c r="A16" s="10" t="s">
        <v>55</v>
      </c>
      <c r="B16" s="68">
        <v>44</v>
      </c>
      <c r="C16" s="29">
        <v>41000</v>
      </c>
      <c r="D16" s="1">
        <f t="shared" si="1"/>
        <v>1804000</v>
      </c>
      <c r="E16" s="5">
        <f t="shared" si="0"/>
        <v>1804000</v>
      </c>
      <c r="F16" s="8">
        <f t="shared" si="2"/>
        <v>41000</v>
      </c>
      <c r="H16" t="str">
        <f t="shared" si="3"/>
        <v>한우(우둔)/장조림용</v>
      </c>
      <c r="I16" s="67">
        <v>44</v>
      </c>
      <c r="J16" s="20">
        <v>28000</v>
      </c>
      <c r="K16" s="1">
        <f t="shared" si="4"/>
        <v>1232000</v>
      </c>
    </row>
    <row r="17" spans="1:11">
      <c r="A17" s="28"/>
      <c r="B17" s="57"/>
      <c r="C17" s="29"/>
      <c r="D17" s="1">
        <f t="shared" si="1"/>
        <v>0</v>
      </c>
      <c r="E17" s="5">
        <f t="shared" si="0"/>
        <v>0</v>
      </c>
      <c r="F17" s="8" t="e">
        <f t="shared" si="2"/>
        <v>#DIV/0!</v>
      </c>
      <c r="H17">
        <f t="shared" si="3"/>
        <v>0</v>
      </c>
      <c r="I17" s="15">
        <f t="shared" si="3"/>
        <v>0</v>
      </c>
      <c r="J17" s="20"/>
      <c r="K17" s="1">
        <f t="shared" si="4"/>
        <v>0</v>
      </c>
    </row>
    <row r="18" spans="1:11">
      <c r="A18" s="28"/>
      <c r="B18" s="29"/>
      <c r="C18" s="29"/>
      <c r="D18" s="1">
        <f t="shared" si="1"/>
        <v>0</v>
      </c>
      <c r="E18" s="5">
        <f t="shared" si="0"/>
        <v>0</v>
      </c>
      <c r="F18" s="8" t="e">
        <f t="shared" si="2"/>
        <v>#DIV/0!</v>
      </c>
      <c r="H18">
        <f t="shared" si="3"/>
        <v>0</v>
      </c>
      <c r="I18" s="15">
        <f t="shared" si="3"/>
        <v>0</v>
      </c>
      <c r="J18" s="59"/>
      <c r="K18" s="1">
        <f t="shared" si="4"/>
        <v>0</v>
      </c>
    </row>
    <row r="19" spans="1:11" ht="17.25" thickBot="1">
      <c r="A19" s="28"/>
      <c r="B19" s="29"/>
      <c r="C19" s="29"/>
      <c r="D19" s="1">
        <f t="shared" si="1"/>
        <v>0</v>
      </c>
      <c r="E19" s="5">
        <f t="shared" si="0"/>
        <v>0</v>
      </c>
      <c r="F19" s="8" t="e">
        <f t="shared" si="2"/>
        <v>#DIV/0!</v>
      </c>
      <c r="H19">
        <f t="shared" si="3"/>
        <v>0</v>
      </c>
      <c r="I19" s="15">
        <f t="shared" si="3"/>
        <v>0</v>
      </c>
      <c r="J19" s="59"/>
      <c r="K19" s="1">
        <f t="shared" si="4"/>
        <v>0</v>
      </c>
    </row>
    <row r="20" spans="1:11" ht="17.25" thickTop="1">
      <c r="A20" s="10"/>
      <c r="B20" s="11"/>
      <c r="C20" s="17"/>
      <c r="D20" s="1">
        <f t="shared" si="1"/>
        <v>0</v>
      </c>
      <c r="E20" s="5">
        <f t="shared" si="0"/>
        <v>0</v>
      </c>
      <c r="F20" s="8" t="e">
        <f t="shared" si="2"/>
        <v>#DIV/0!</v>
      </c>
      <c r="H20">
        <f t="shared" si="3"/>
        <v>0</v>
      </c>
      <c r="I20" s="15">
        <f t="shared" si="3"/>
        <v>0</v>
      </c>
      <c r="J20" s="24"/>
      <c r="K20" s="1">
        <f t="shared" si="4"/>
        <v>0</v>
      </c>
    </row>
    <row r="21" spans="1:11">
      <c r="A21" s="16"/>
      <c r="B21" s="17"/>
      <c r="C21" s="17"/>
      <c r="D21" s="1"/>
      <c r="E21" s="3"/>
      <c r="F21" s="3"/>
      <c r="H21">
        <f t="shared" si="3"/>
        <v>0</v>
      </c>
      <c r="I21" s="15">
        <f t="shared" si="3"/>
        <v>0</v>
      </c>
      <c r="K21" s="1">
        <f t="shared" si="4"/>
        <v>0</v>
      </c>
    </row>
    <row r="22" spans="1:11">
      <c r="A22" s="16"/>
      <c r="B22" s="17"/>
      <c r="C22" s="17"/>
      <c r="D22" s="1"/>
      <c r="E22" s="3"/>
      <c r="F22" s="3"/>
      <c r="H22">
        <f t="shared" si="3"/>
        <v>0</v>
      </c>
      <c r="I22" s="15">
        <f t="shared" si="3"/>
        <v>0</v>
      </c>
      <c r="K22" s="1">
        <f t="shared" si="4"/>
        <v>0</v>
      </c>
    </row>
    <row r="23" spans="1:11">
      <c r="A23" s="16"/>
      <c r="B23" s="17"/>
      <c r="C23" s="17"/>
      <c r="D23" s="1"/>
      <c r="E23" s="3"/>
      <c r="F23" s="3"/>
      <c r="H23">
        <f t="shared" si="3"/>
        <v>0</v>
      </c>
      <c r="I23" s="15">
        <f t="shared" si="3"/>
        <v>0</v>
      </c>
      <c r="K23" s="1">
        <f t="shared" si="4"/>
        <v>0</v>
      </c>
    </row>
    <row r="24" spans="1:11">
      <c r="A24" s="16"/>
      <c r="B24" s="17"/>
      <c r="C24" s="17"/>
      <c r="D24" s="1"/>
      <c r="E24" s="3"/>
      <c r="F24" s="3"/>
      <c r="H24">
        <f t="shared" si="3"/>
        <v>0</v>
      </c>
      <c r="I24" s="15">
        <f t="shared" si="3"/>
        <v>0</v>
      </c>
      <c r="K24" s="1">
        <f t="shared" si="4"/>
        <v>0</v>
      </c>
    </row>
    <row r="25" spans="1:11">
      <c r="A25" s="16"/>
      <c r="B25" s="17"/>
      <c r="C25" s="17"/>
      <c r="D25" s="1"/>
      <c r="E25" s="3"/>
      <c r="F25" s="3"/>
      <c r="H25">
        <f t="shared" si="3"/>
        <v>0</v>
      </c>
      <c r="I25" s="15">
        <f t="shared" si="3"/>
        <v>0</v>
      </c>
      <c r="K25" s="1">
        <f t="shared" si="4"/>
        <v>0</v>
      </c>
    </row>
    <row r="26" spans="1:11">
      <c r="A26" s="16"/>
      <c r="B26" s="17"/>
      <c r="C26" s="17"/>
      <c r="D26" s="1"/>
      <c r="E26" s="3"/>
      <c r="F26" s="3"/>
      <c r="H26">
        <f t="shared" si="3"/>
        <v>0</v>
      </c>
      <c r="I26" s="15">
        <f t="shared" si="3"/>
        <v>0</v>
      </c>
      <c r="K26" s="1">
        <f t="shared" si="4"/>
        <v>0</v>
      </c>
    </row>
    <row r="27" spans="1:11">
      <c r="A27" s="16"/>
      <c r="B27" s="17"/>
      <c r="C27" s="17"/>
      <c r="D27" s="1"/>
      <c r="E27" s="3"/>
      <c r="F27" s="3"/>
      <c r="H27">
        <f t="shared" si="3"/>
        <v>0</v>
      </c>
      <c r="I27" s="15">
        <f t="shared" si="3"/>
        <v>0</v>
      </c>
      <c r="K27" s="1">
        <f t="shared" si="4"/>
        <v>0</v>
      </c>
    </row>
    <row r="28" spans="1:11">
      <c r="B28" s="9"/>
      <c r="C28" s="9"/>
      <c r="D28" s="1"/>
      <c r="E28" s="3"/>
      <c r="F28" s="3"/>
      <c r="H28">
        <f t="shared" si="3"/>
        <v>0</v>
      </c>
      <c r="I28" s="15">
        <f t="shared" si="3"/>
        <v>0</v>
      </c>
      <c r="K28" s="1">
        <f t="shared" si="4"/>
        <v>0</v>
      </c>
    </row>
    <row r="29" spans="1:11">
      <c r="B29" s="9"/>
      <c r="C29" s="9"/>
      <c r="D29" s="1"/>
      <c r="E29" s="3"/>
      <c r="F29" s="3"/>
      <c r="H29">
        <f t="shared" si="3"/>
        <v>0</v>
      </c>
      <c r="I29" s="15">
        <f t="shared" si="3"/>
        <v>0</v>
      </c>
      <c r="K29" s="1">
        <f t="shared" si="4"/>
        <v>0</v>
      </c>
    </row>
    <row r="30" spans="1:11">
      <c r="B30" s="9"/>
      <c r="C30" s="9"/>
      <c r="D30" s="1"/>
      <c r="E30" s="3"/>
      <c r="F30" s="3"/>
      <c r="H30">
        <f t="shared" si="3"/>
        <v>0</v>
      </c>
      <c r="I30" s="15">
        <f t="shared" si="3"/>
        <v>0</v>
      </c>
      <c r="K30" s="1">
        <f t="shared" si="4"/>
        <v>0</v>
      </c>
    </row>
    <row r="31" spans="1:11">
      <c r="A31" s="9"/>
      <c r="B31" s="9"/>
      <c r="C31" s="9"/>
      <c r="D31" s="1"/>
      <c r="E31" s="3"/>
      <c r="F31" s="3"/>
      <c r="H31" s="25">
        <f>B32</f>
        <v>8358600</v>
      </c>
      <c r="I31" s="18"/>
      <c r="J31" s="18"/>
      <c r="K31" s="5">
        <f>SUM(K2:K30)</f>
        <v>5345800</v>
      </c>
    </row>
    <row r="32" spans="1:11">
      <c r="A32" s="14" t="s">
        <v>4</v>
      </c>
      <c r="B32" s="30">
        <v>8358600</v>
      </c>
      <c r="C32" s="9"/>
      <c r="D32" s="1">
        <f>SUM(D2:D31)</f>
        <v>8358600</v>
      </c>
      <c r="E32" s="5">
        <f>B32-D32</f>
        <v>0</v>
      </c>
      <c r="F32" s="3"/>
      <c r="I32">
        <v>8</v>
      </c>
      <c r="J32">
        <v>25000</v>
      </c>
      <c r="K32" s="1">
        <f>I32*J32</f>
        <v>200000</v>
      </c>
    </row>
    <row r="33" spans="1:11">
      <c r="A33" s="12" t="s">
        <v>56</v>
      </c>
      <c r="B33" s="13">
        <f>B2</f>
        <v>15</v>
      </c>
      <c r="C33" s="12">
        <f>$E$32/B33</f>
        <v>0</v>
      </c>
      <c r="E33" s="6" t="s">
        <v>5</v>
      </c>
      <c r="K33" s="1">
        <f>K31+K32</f>
        <v>5545800</v>
      </c>
    </row>
    <row r="34" spans="1:11">
      <c r="B34" s="13">
        <f>B3</f>
        <v>0</v>
      </c>
      <c r="C34" s="12" t="e">
        <f t="shared" ref="C34:C36" si="6">$E$32/B34</f>
        <v>#DIV/0!</v>
      </c>
      <c r="K34" s="27">
        <f>H31-K33</f>
        <v>2812800</v>
      </c>
    </row>
    <row r="35" spans="1:11">
      <c r="B35" s="13">
        <f t="shared" ref="B35:B42" si="7">B4</f>
        <v>58</v>
      </c>
      <c r="C35" s="12">
        <f t="shared" si="6"/>
        <v>0</v>
      </c>
      <c r="K35" s="26">
        <f>K34/H31</f>
        <v>0.33651568444476349</v>
      </c>
    </row>
    <row r="36" spans="1:11">
      <c r="B36" s="13">
        <f t="shared" si="7"/>
        <v>70</v>
      </c>
      <c r="C36" s="12">
        <f t="shared" si="6"/>
        <v>0</v>
      </c>
    </row>
    <row r="37" spans="1:11">
      <c r="B37" s="13">
        <f t="shared" si="7"/>
        <v>0</v>
      </c>
    </row>
    <row r="38" spans="1:11">
      <c r="B38" s="13">
        <f t="shared" si="7"/>
        <v>130</v>
      </c>
      <c r="G38" s="15">
        <v>3110800</v>
      </c>
    </row>
    <row r="39" spans="1:11">
      <c r="B39" s="13">
        <f t="shared" si="7"/>
        <v>0</v>
      </c>
    </row>
    <row r="40" spans="1:11">
      <c r="B40" s="13">
        <f t="shared" si="7"/>
        <v>16</v>
      </c>
    </row>
    <row r="41" spans="1:11">
      <c r="B41" s="13">
        <f t="shared" si="7"/>
        <v>0</v>
      </c>
    </row>
    <row r="42" spans="1:11">
      <c r="B42" s="13">
        <f t="shared" si="7"/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합계</vt:lpstr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준호 이</dc:creator>
  <cp:lastModifiedBy>newadmin</cp:lastModifiedBy>
  <dcterms:created xsi:type="dcterms:W3CDTF">2025-06-24T03:20:59Z</dcterms:created>
  <dcterms:modified xsi:type="dcterms:W3CDTF">2025-12-31T06:43:07Z</dcterms:modified>
</cp:coreProperties>
</file>