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15" windowWidth="35295" windowHeight="16875"/>
  </bookViews>
  <sheets>
    <sheet name="계약단가조회" sheetId="1" r:id="rId1"/>
  </sheets>
  <calcPr calcId="144525"/>
</workbook>
</file>

<file path=xl/calcChain.xml><?xml version="1.0" encoding="utf-8"?>
<calcChain xmlns="http://schemas.openxmlformats.org/spreadsheetml/2006/main">
  <c r="G19" i="1" l="1"/>
  <c r="G6" i="1"/>
  <c r="G7" i="1"/>
  <c r="G8" i="1"/>
  <c r="G9" i="1"/>
  <c r="G10" i="1"/>
  <c r="G11" i="1"/>
  <c r="G12" i="1"/>
  <c r="G13" i="1"/>
  <c r="G14" i="1"/>
  <c r="G15" i="1"/>
  <c r="G16" i="1"/>
  <c r="G17" i="1"/>
  <c r="G5" i="1"/>
</calcChain>
</file>

<file path=xl/sharedStrings.xml><?xml version="1.0" encoding="utf-8"?>
<sst xmlns="http://schemas.openxmlformats.org/spreadsheetml/2006/main" count="65" uniqueCount="52">
  <si>
    <t>계약건명</t>
  </si>
  <si>
    <t>온천초등학교 12월 축산물 소액수의</t>
  </si>
  <si>
    <t>계약건 총금액</t>
  </si>
  <si>
    <t>10,525,500</t>
  </si>
  <si>
    <t>식품 공통코드</t>
  </si>
  <si>
    <t>식품 공통코드명</t>
  </si>
  <si>
    <t>규격/단위</t>
  </si>
  <si>
    <t>속성정보</t>
  </si>
  <si>
    <t>①입찰수량</t>
  </si>
  <si>
    <t xml:space="preserve">②입찰단가 </t>
  </si>
  <si>
    <t>③입찰금액(원)</t>
  </si>
  <si>
    <t>3040010009</t>
  </si>
  <si>
    <t>돼지고기(갈비)/찜용</t>
  </si>
  <si>
    <t>1000g/kg</t>
  </si>
  <si>
    <t>[1000g],[kg],[국산],[2등급 이상],[찜용],[냉동]</t>
  </si>
  <si>
    <t>3040010010</t>
  </si>
  <si>
    <t>돼지고기(갈비)/탕용</t>
  </si>
  <si>
    <t>[1000g],[kg],[국산],[2등급 이상],[탕용],[냉동]</t>
  </si>
  <si>
    <t>3040030014</t>
  </si>
  <si>
    <t>돼지고기(뒷다리, 후지)/다진것</t>
  </si>
  <si>
    <t>[1000g],[kg],[국산],[2등급 이상],[다진것(.00)],[냉장]</t>
  </si>
  <si>
    <t>3040030007</t>
  </si>
  <si>
    <t>돼지고기(뒷다리, 후지)/불고기용</t>
  </si>
  <si>
    <t>[1000g],[kg],[국산],[2등급 이상],[불고기용],[냉장]</t>
  </si>
  <si>
    <t>3040030017</t>
  </si>
  <si>
    <t>돼지고기(뒷다리, 후지)/슬라이스</t>
  </si>
  <si>
    <t>[1000g],[kg],[국산],[2등급 이상],[냉장],[대패슬라이스]</t>
  </si>
  <si>
    <t>3040030015</t>
  </si>
  <si>
    <t>돼지고기(뒷다리, 후지)/채썬것(세절)</t>
  </si>
  <si>
    <t>[1000g],[kg],[국산],[2등급 이상],[채썬것(세절)(.00)],[냉장]</t>
  </si>
  <si>
    <t>3040030011</t>
  </si>
  <si>
    <t>돼지고기(뒷다리, 후지)/카레용</t>
  </si>
  <si>
    <t>[1000g],[kg],[국산],[2등급 이상],[카레용],[냉장]</t>
  </si>
  <si>
    <t>3040110006</t>
  </si>
  <si>
    <t>돼지고기(앞다리, 전지)/불고기용</t>
  </si>
  <si>
    <t>3040110009</t>
  </si>
  <si>
    <t>돼지고기(앞다리, 전지)/편육용</t>
  </si>
  <si>
    <t>[1000g],[kg],[300g],[국산],[2등급 이상],[편육용],[냉장]</t>
  </si>
  <si>
    <t>3050140001</t>
  </si>
  <si>
    <t>돼지등뼈</t>
  </si>
  <si>
    <t>[1000g],[kg],[국산],[2등급 이상],[4*5*1(크기:4*5*1)],[탕용],[냉동]</t>
  </si>
  <si>
    <t>3090080004</t>
  </si>
  <si>
    <t>한우(양지)/국용</t>
  </si>
  <si>
    <t>[1000g],[kg],[국산],[1등급 이상],[국용],[냉장]</t>
  </si>
  <si>
    <t>3090080009</t>
  </si>
  <si>
    <t>한우(양지)/다진것</t>
  </si>
  <si>
    <t>[1000g],[kg],[1등급 이상],[다진것(.00)],[냉장]</t>
  </si>
  <si>
    <t>3090090014</t>
  </si>
  <si>
    <t>한우(우둔)/채썬것(세절)</t>
  </si>
  <si>
    <t>[1000g],[kg],[국산],[1등급 이상],[냉장]</t>
  </si>
  <si>
    <t>⑤소수점 이하 절사 합계금액</t>
  </si>
  <si>
    <t>④합계(계약금액)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</si>
</sst>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#"/>
  </numFmts>
  <fonts count="11">
    <font>
      <sz val="11"/>
      <color indexed="8"/>
      <name val="맑은 고딕"/>
      <family val="2"/>
      <scheme val="minor"/>
    </font>
    <font>
      <b/>
      <sz val="9"/>
      <color rgb="FF151515"/>
      <name val="NanumGothic"/>
      <family val="3"/>
      <charset val="129"/>
    </font>
    <font>
      <b/>
      <sz val="9"/>
      <color rgb="FF151515"/>
      <name val="NanumGothic"/>
      <family val="3"/>
      <charset val="129"/>
    </font>
    <font>
      <b/>
      <sz val="9"/>
      <color rgb="FF151515"/>
      <name val="NanumGothic"/>
      <family val="3"/>
      <charset val="129"/>
    </font>
    <font>
      <sz val="9"/>
      <color rgb="FF111111"/>
      <name val="NanumGothic"/>
      <family val="3"/>
      <charset val="129"/>
    </font>
    <font>
      <sz val="9"/>
      <color rgb="FF111111"/>
      <name val="NanumGothic"/>
      <family val="3"/>
      <charset val="129"/>
    </font>
    <font>
      <sz val="9"/>
      <color rgb="FF111111"/>
      <name val="NanumGothic"/>
      <family val="3"/>
      <charset val="129"/>
    </font>
    <font>
      <b/>
      <sz val="9"/>
      <color rgb="FF111111"/>
      <name val="NanumGothic"/>
      <family val="3"/>
      <charset val="129"/>
    </font>
    <font>
      <b/>
      <sz val="9"/>
      <color rgb="FF111111"/>
      <name val="NanumGothic"/>
      <family val="3"/>
      <charset val="129"/>
    </font>
    <font>
      <b/>
      <sz val="9"/>
      <color rgb="FF111111"/>
      <name val="Nanum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1E2F5"/>
      </patternFill>
    </fill>
  </fills>
  <borders count="3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3" fontId="8" fillId="4" borderId="2" xfId="0" applyNumberFormat="1" applyFont="1" applyFill="1" applyBorder="1" applyAlignment="1">
      <alignment horizontal="right" vertical="center" wrapText="1"/>
    </xf>
    <xf numFmtId="176" fontId="9" fillId="4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7" fillId="4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G10" sqref="G10"/>
    </sheetView>
  </sheetViews>
  <sheetFormatPr defaultRowHeight="16.5"/>
  <cols>
    <col min="1" max="1" width="11.25" customWidth="1"/>
    <col min="2" max="2" width="20" customWidth="1"/>
    <col min="3" max="3" width="10" customWidth="1"/>
    <col min="4" max="4" width="37.5" customWidth="1"/>
    <col min="5" max="5" width="8.75" customWidth="1"/>
    <col min="6" max="6" width="10" customWidth="1"/>
    <col min="7" max="7" width="12.5" customWidth="1"/>
  </cols>
  <sheetData>
    <row r="1" spans="1:7" ht="18" customHeight="1">
      <c r="A1" s="1" t="s">
        <v>0</v>
      </c>
      <c r="B1" s="8" t="s">
        <v>1</v>
      </c>
      <c r="C1" s="8"/>
      <c r="D1" s="8"/>
      <c r="E1" s="8"/>
      <c r="F1" s="8"/>
      <c r="G1" s="8"/>
    </row>
    <row r="2" spans="1:7" ht="18" customHeight="1">
      <c r="A2" s="1" t="s">
        <v>2</v>
      </c>
      <c r="B2" s="1" t="s">
        <v>3</v>
      </c>
      <c r="C2" s="9"/>
      <c r="D2" s="9"/>
      <c r="E2" s="2"/>
      <c r="F2" s="2"/>
      <c r="G2" s="2"/>
    </row>
    <row r="3" spans="1:7" ht="18" customHeight="1">
      <c r="A3" s="2"/>
      <c r="B3" s="2"/>
      <c r="C3" s="2"/>
      <c r="D3" s="2"/>
      <c r="E3" s="2"/>
      <c r="F3" s="2"/>
      <c r="G3" s="2"/>
    </row>
    <row r="4" spans="1:7" ht="22.5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30" customHeight="1">
      <c r="A5" s="3" t="s">
        <v>11</v>
      </c>
      <c r="B5" s="3" t="s">
        <v>12</v>
      </c>
      <c r="C5" s="4" t="s">
        <v>13</v>
      </c>
      <c r="D5" s="3" t="s">
        <v>14</v>
      </c>
      <c r="E5" s="5">
        <v>110</v>
      </c>
      <c r="F5" s="5">
        <v>12000</v>
      </c>
      <c r="G5" s="5">
        <f>E5*F5</f>
        <v>1320000</v>
      </c>
    </row>
    <row r="6" spans="1:7" ht="30" customHeight="1">
      <c r="A6" s="3" t="s">
        <v>15</v>
      </c>
      <c r="B6" s="3" t="s">
        <v>16</v>
      </c>
      <c r="C6" s="4" t="s">
        <v>13</v>
      </c>
      <c r="D6" s="3" t="s">
        <v>17</v>
      </c>
      <c r="E6" s="5">
        <v>40</v>
      </c>
      <c r="F6" s="5">
        <v>12000</v>
      </c>
      <c r="G6" s="5">
        <f t="shared" ref="G6:G17" si="0">E6*F6</f>
        <v>480000</v>
      </c>
    </row>
    <row r="7" spans="1:7" ht="30" customHeight="1">
      <c r="A7" s="3" t="s">
        <v>18</v>
      </c>
      <c r="B7" s="3" t="s">
        <v>19</v>
      </c>
      <c r="C7" s="4" t="s">
        <v>13</v>
      </c>
      <c r="D7" s="3" t="s">
        <v>20</v>
      </c>
      <c r="E7" s="5">
        <v>40</v>
      </c>
      <c r="F7" s="5">
        <v>12000</v>
      </c>
      <c r="G7" s="5">
        <f t="shared" si="0"/>
        <v>480000</v>
      </c>
    </row>
    <row r="8" spans="1:7" ht="30" customHeight="1">
      <c r="A8" s="3" t="s">
        <v>21</v>
      </c>
      <c r="B8" s="3" t="s">
        <v>22</v>
      </c>
      <c r="C8" s="4" t="s">
        <v>13</v>
      </c>
      <c r="D8" s="3" t="s">
        <v>23</v>
      </c>
      <c r="E8" s="5">
        <v>20</v>
      </c>
      <c r="F8" s="5">
        <v>12025</v>
      </c>
      <c r="G8" s="5">
        <f t="shared" si="0"/>
        <v>240500</v>
      </c>
    </row>
    <row r="9" spans="1:7" ht="30" customHeight="1">
      <c r="A9" s="3" t="s">
        <v>24</v>
      </c>
      <c r="B9" s="3" t="s">
        <v>25</v>
      </c>
      <c r="C9" s="4" t="s">
        <v>13</v>
      </c>
      <c r="D9" s="3" t="s">
        <v>26</v>
      </c>
      <c r="E9" s="5">
        <v>32</v>
      </c>
      <c r="F9" s="5">
        <v>12000</v>
      </c>
      <c r="G9" s="5">
        <f t="shared" si="0"/>
        <v>384000</v>
      </c>
    </row>
    <row r="10" spans="1:7" ht="30" customHeight="1">
      <c r="A10" s="3" t="s">
        <v>27</v>
      </c>
      <c r="B10" s="3" t="s">
        <v>28</v>
      </c>
      <c r="C10" s="4" t="s">
        <v>13</v>
      </c>
      <c r="D10" s="3" t="s">
        <v>29</v>
      </c>
      <c r="E10" s="5">
        <v>45</v>
      </c>
      <c r="F10" s="5">
        <v>12000</v>
      </c>
      <c r="G10" s="5">
        <f t="shared" si="0"/>
        <v>540000</v>
      </c>
    </row>
    <row r="11" spans="1:7" ht="30" customHeight="1">
      <c r="A11" s="3" t="s">
        <v>30</v>
      </c>
      <c r="B11" s="3" t="s">
        <v>31</v>
      </c>
      <c r="C11" s="4" t="s">
        <v>13</v>
      </c>
      <c r="D11" s="3" t="s">
        <v>32</v>
      </c>
      <c r="E11" s="5">
        <v>25</v>
      </c>
      <c r="F11" s="5">
        <v>12000</v>
      </c>
      <c r="G11" s="5">
        <f t="shared" si="0"/>
        <v>300000</v>
      </c>
    </row>
    <row r="12" spans="1:7" ht="30" customHeight="1">
      <c r="A12" s="3" t="s">
        <v>33</v>
      </c>
      <c r="B12" s="3" t="s">
        <v>34</v>
      </c>
      <c r="C12" s="4" t="s">
        <v>13</v>
      </c>
      <c r="D12" s="3" t="s">
        <v>23</v>
      </c>
      <c r="E12" s="5">
        <v>207</v>
      </c>
      <c r="F12" s="5">
        <v>11000</v>
      </c>
      <c r="G12" s="5">
        <f t="shared" si="0"/>
        <v>2277000</v>
      </c>
    </row>
    <row r="13" spans="1:7" ht="30" customHeight="1">
      <c r="A13" s="3" t="s">
        <v>35</v>
      </c>
      <c r="B13" s="3" t="s">
        <v>36</v>
      </c>
      <c r="C13" s="4" t="s">
        <v>13</v>
      </c>
      <c r="D13" s="3" t="s">
        <v>37</v>
      </c>
      <c r="E13" s="5">
        <v>88</v>
      </c>
      <c r="F13" s="5">
        <v>11000</v>
      </c>
      <c r="G13" s="5">
        <f t="shared" si="0"/>
        <v>968000</v>
      </c>
    </row>
    <row r="14" spans="1:7" ht="30" customHeight="1">
      <c r="A14" s="3" t="s">
        <v>38</v>
      </c>
      <c r="B14" s="3" t="s">
        <v>39</v>
      </c>
      <c r="C14" s="4" t="s">
        <v>13</v>
      </c>
      <c r="D14" s="3" t="s">
        <v>40</v>
      </c>
      <c r="E14" s="5">
        <v>25</v>
      </c>
      <c r="F14" s="5">
        <v>9000</v>
      </c>
      <c r="G14" s="5">
        <f t="shared" si="0"/>
        <v>225000</v>
      </c>
    </row>
    <row r="15" spans="1:7" ht="30" customHeight="1">
      <c r="A15" s="3" t="s">
        <v>41</v>
      </c>
      <c r="B15" s="3" t="s">
        <v>42</v>
      </c>
      <c r="C15" s="4" t="s">
        <v>13</v>
      </c>
      <c r="D15" s="3" t="s">
        <v>43</v>
      </c>
      <c r="E15" s="5">
        <v>53</v>
      </c>
      <c r="F15" s="5">
        <v>43000</v>
      </c>
      <c r="G15" s="5">
        <f t="shared" si="0"/>
        <v>2279000</v>
      </c>
    </row>
    <row r="16" spans="1:7" ht="30" customHeight="1">
      <c r="A16" s="3" t="s">
        <v>44</v>
      </c>
      <c r="B16" s="3" t="s">
        <v>45</v>
      </c>
      <c r="C16" s="4" t="s">
        <v>13</v>
      </c>
      <c r="D16" s="3" t="s">
        <v>46</v>
      </c>
      <c r="E16" s="5">
        <v>8</v>
      </c>
      <c r="F16" s="5">
        <v>41500</v>
      </c>
      <c r="G16" s="5">
        <f t="shared" si="0"/>
        <v>332000</v>
      </c>
    </row>
    <row r="17" spans="1:7" ht="30" customHeight="1">
      <c r="A17" s="3" t="s">
        <v>47</v>
      </c>
      <c r="B17" s="3" t="s">
        <v>48</v>
      </c>
      <c r="C17" s="4" t="s">
        <v>13</v>
      </c>
      <c r="D17" s="3" t="s">
        <v>49</v>
      </c>
      <c r="E17" s="5">
        <v>16</v>
      </c>
      <c r="F17" s="5">
        <v>43000</v>
      </c>
      <c r="G17" s="5">
        <f t="shared" si="0"/>
        <v>688000</v>
      </c>
    </row>
    <row r="18" spans="1:7" ht="16.5" customHeight="1">
      <c r="A18" s="10" t="s">
        <v>50</v>
      </c>
      <c r="B18" s="10"/>
      <c r="C18" s="10"/>
      <c r="D18" s="10"/>
      <c r="E18" s="10"/>
      <c r="F18" s="10"/>
      <c r="G18" s="6">
        <v>0</v>
      </c>
    </row>
    <row r="19" spans="1:7" ht="16.5" customHeight="1">
      <c r="A19" s="10" t="s">
        <v>51</v>
      </c>
      <c r="B19" s="10"/>
      <c r="C19" s="10"/>
      <c r="D19" s="10"/>
      <c r="E19" s="10"/>
      <c r="F19" s="10"/>
      <c r="G19" s="7">
        <f>SUM(G5:G17)</f>
        <v>10513500</v>
      </c>
    </row>
  </sheetData>
  <mergeCells count="4">
    <mergeCell ref="B1:G1"/>
    <mergeCell ref="C2:D2"/>
    <mergeCell ref="A18:F18"/>
    <mergeCell ref="A19:F19"/>
  </mergeCells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계약단가조회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newadmin</cp:lastModifiedBy>
  <dcterms:created xsi:type="dcterms:W3CDTF">2025-11-24T02:17:38Z</dcterms:created>
  <dcterms:modified xsi:type="dcterms:W3CDTF">2025-12-31T00:38:49Z</dcterms:modified>
</cp:coreProperties>
</file>