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48840" yWindow="-19455" windowWidth="21600" windowHeight="14265"/>
  </bookViews>
  <sheets>
    <sheet name="Sheet0" sheetId="1" r:id="rId1"/>
  </sheets>
  <calcPr calcId="144525"/>
</workbook>
</file>

<file path=xl/calcChain.xml><?xml version="1.0" encoding="utf-8"?>
<calcChain xmlns="http://schemas.openxmlformats.org/spreadsheetml/2006/main">
  <c r="BY21" i="1" l="1"/>
  <c r="BW21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6" i="1"/>
  <c r="BU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6" i="1"/>
  <c r="BT21" i="1"/>
  <c r="BT7" i="1"/>
  <c r="BT8" i="1"/>
  <c r="BT9" i="1"/>
  <c r="BT10" i="1"/>
  <c r="BT11" i="1"/>
  <c r="BT12" i="1"/>
  <c r="BT13" i="1"/>
  <c r="BT14" i="1"/>
  <c r="BT15" i="1"/>
  <c r="BT16" i="1"/>
  <c r="BT17" i="1"/>
  <c r="BT18" i="1"/>
  <c r="BT19" i="1"/>
  <c r="BT20" i="1"/>
  <c r="BT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6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6" i="1"/>
  <c r="BZ21" i="1"/>
  <c r="BQ9" i="1"/>
  <c r="BQ10" i="1"/>
  <c r="BQ11" i="1"/>
  <c r="BQ12" i="1"/>
  <c r="BQ13" i="1"/>
  <c r="BQ15" i="1"/>
  <c r="BQ17" i="1"/>
  <c r="BQ18" i="1"/>
  <c r="BQ19" i="1"/>
  <c r="BQ20" i="1"/>
  <c r="BQ6" i="1"/>
  <c r="BP7" i="1"/>
  <c r="BQ7" i="1" s="1"/>
  <c r="BP8" i="1"/>
  <c r="BQ8" i="1" s="1"/>
  <c r="BP9" i="1"/>
  <c r="BP10" i="1"/>
  <c r="BP11" i="1"/>
  <c r="BP12" i="1"/>
  <c r="BP13" i="1"/>
  <c r="BP14" i="1"/>
  <c r="BQ14" i="1" s="1"/>
  <c r="BP15" i="1"/>
  <c r="BP16" i="1"/>
  <c r="BQ16" i="1" s="1"/>
  <c r="BP17" i="1"/>
  <c r="BP18" i="1"/>
  <c r="BP19" i="1"/>
  <c r="BP20" i="1"/>
  <c r="BP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6" i="1"/>
  <c r="BQ21" i="1" l="1"/>
</calcChain>
</file>

<file path=xl/sharedStrings.xml><?xml version="1.0" encoding="utf-8"?>
<sst xmlns="http://schemas.openxmlformats.org/spreadsheetml/2006/main" count="1023" uniqueCount="123">
  <si>
    <t>【 발주서 (육류) 】</t>
  </si>
  <si>
    <t>기간 : 2025-12-15 ~ 2026-02-11</t>
  </si>
  <si>
    <t>거래처명 : 신정초등학교</t>
  </si>
  <si>
    <t>NO</t>
  </si>
  <si>
    <t>식품명/상세식품명</t>
  </si>
  <si>
    <t>규격/단위</t>
  </si>
  <si>
    <t>친환경인증정보(농식품국가인증)</t>
  </si>
  <si>
    <t>원산지</t>
  </si>
  <si>
    <t>속성정보</t>
  </si>
  <si>
    <t>12.15</t>
  </si>
  <si>
    <t>12.16</t>
  </si>
  <si>
    <t>12.17</t>
  </si>
  <si>
    <t>12.18</t>
  </si>
  <si>
    <t>12.19</t>
  </si>
  <si>
    <t>12.20</t>
  </si>
  <si>
    <t>12.21</t>
  </si>
  <si>
    <t>12.22</t>
  </si>
  <si>
    <t>12.23</t>
  </si>
  <si>
    <t>12.24</t>
  </si>
  <si>
    <t>12.25</t>
  </si>
  <si>
    <t>12.26</t>
  </si>
  <si>
    <t>12.27</t>
  </si>
  <si>
    <t>12.28</t>
  </si>
  <si>
    <t>12.29</t>
  </si>
  <si>
    <t>12.30</t>
  </si>
  <si>
    <t>12.31</t>
  </si>
  <si>
    <t>01.01</t>
  </si>
  <si>
    <t>01.02</t>
  </si>
  <si>
    <t>01.03</t>
  </si>
  <si>
    <t>01.04</t>
  </si>
  <si>
    <t>01.05</t>
  </si>
  <si>
    <t>01.06</t>
  </si>
  <si>
    <t>01.07</t>
  </si>
  <si>
    <t>01.08</t>
  </si>
  <si>
    <t>01.09</t>
  </si>
  <si>
    <t>01.10</t>
  </si>
  <si>
    <t>01.11</t>
  </si>
  <si>
    <t>01.12</t>
  </si>
  <si>
    <t>01.13</t>
  </si>
  <si>
    <t>01.14</t>
  </si>
  <si>
    <t>01.15</t>
  </si>
  <si>
    <t>01.16</t>
  </si>
  <si>
    <t>01.17</t>
  </si>
  <si>
    <t>01.18</t>
  </si>
  <si>
    <t>01.19</t>
  </si>
  <si>
    <t>01.20</t>
  </si>
  <si>
    <t>01.21</t>
  </si>
  <si>
    <t>01.22</t>
  </si>
  <si>
    <t>01.23</t>
  </si>
  <si>
    <t>01.24</t>
  </si>
  <si>
    <t>01.25</t>
  </si>
  <si>
    <t>01.26</t>
  </si>
  <si>
    <t>01.27</t>
  </si>
  <si>
    <t>01.28</t>
  </si>
  <si>
    <t>01.29</t>
  </si>
  <si>
    <t>01.30</t>
  </si>
  <si>
    <t>01.31</t>
  </si>
  <si>
    <t>02.01</t>
  </si>
  <si>
    <t>02.02</t>
  </si>
  <si>
    <t>02.03</t>
  </si>
  <si>
    <t>02.04</t>
  </si>
  <si>
    <t>02.05</t>
  </si>
  <si>
    <t>02.06</t>
  </si>
  <si>
    <t>02.07</t>
  </si>
  <si>
    <t>02.08</t>
  </si>
  <si>
    <t>02.09</t>
  </si>
  <si>
    <t>02.10</t>
  </si>
  <si>
    <t>02.11</t>
  </si>
  <si>
    <t>총량</t>
  </si>
  <si>
    <t>1</t>
  </si>
  <si>
    <t>돼지고기(갈비)/찜용</t>
  </si>
  <si>
    <t>1000g/kg</t>
  </si>
  <si>
    <t>선택안함 (  )</t>
  </si>
  <si>
    <t>국산</t>
  </si>
  <si>
    <t>[1000g],[kg],[국산],[2등급 이상],[찜용],[국내산/2등급이상/냉동/1*3*4cm]</t>
  </si>
  <si>
    <t/>
  </si>
  <si>
    <t>15</t>
  </si>
  <si>
    <t>2</t>
  </si>
  <si>
    <t>돼지고기(뒷다리, 후지)/카레용</t>
  </si>
  <si>
    <t>(  )</t>
  </si>
  <si>
    <t>[1000g],[kg],[국산],[2등급 이상],[카레용],[냉장,핏물없을것,진공포장]</t>
  </si>
  <si>
    <t>14</t>
  </si>
  <si>
    <t>3</t>
  </si>
  <si>
    <t>돼지고기(목살)/수육용</t>
  </si>
  <si>
    <t>[1000g],[kg],[국산],[2등급 이상],[수육용],[냉장,300g덩어리,핏물없을것,진공포장]</t>
  </si>
  <si>
    <t>4</t>
  </si>
  <si>
    <t>돼지고기(목살)/스테이크용</t>
  </si>
  <si>
    <t>[1000g],[kg],[국산],[스테이크용],[목살스테이크용으로 절단 2*2*1.5목살한입크기용]</t>
  </si>
  <si>
    <t>5</t>
  </si>
  <si>
    <t>돼지고기(삼겹살)/불고기용</t>
  </si>
  <si>
    <t>[1000g],[kg],[국산],[2등급 이상],[불고기용],[얇은슬라이스냉장,핏물없을것,진공포장]</t>
  </si>
  <si>
    <t>12</t>
  </si>
  <si>
    <t>6</t>
  </si>
  <si>
    <t>돼지고기(앞다리, 전지)/불고기용</t>
  </si>
  <si>
    <t>[1000g],[kg],[국산],[2등급 이상],[불고기용],[냉장,핏물없을것,진공포장]</t>
  </si>
  <si>
    <t>7</t>
  </si>
  <si>
    <t>돼지고기(앞다리, 전지)/찌개용</t>
  </si>
  <si>
    <t>[1000g],[kg],[국산],[2등급 이상],[찌개용],[냉장,핏물없을것,진공포장]</t>
  </si>
  <si>
    <t>11</t>
  </si>
  <si>
    <t>8</t>
  </si>
  <si>
    <t>돼지고기(앞다리, 전지)/채썬것(세절)</t>
  </si>
  <si>
    <t>[1000g],[kg],[국산],[2등급 이상],[채썬것(세절)(.00)],[잡채용,냉장,2등급이상]</t>
  </si>
  <si>
    <t>9</t>
  </si>
  <si>
    <t>돼지고기(앞다리, 전지)/편육용</t>
  </si>
  <si>
    <t>[1000g],[kg],[국산],[2등급 이상],[편육용],[냉장,핏물없을것,진공포장,300g덩어리]</t>
  </si>
  <si>
    <t>10</t>
  </si>
  <si>
    <t>돼지등뼈</t>
  </si>
  <si>
    <t>[1000g],[kg],[냉동,국내산/2등급이상/감자탕용으로 작업상태가 양호한 것]</t>
  </si>
  <si>
    <t>돼지잡뼈/냉동</t>
  </si>
  <si>
    <t>[1000g],[kg],[국산],[2등급 이상],[냉동],[이물질 없고 뼈 부스러기 없는것]</t>
  </si>
  <si>
    <t>돼지족발</t>
  </si>
  <si>
    <t>[1000g],[kg],[국산],[2등급 이상],[300g, 절단, 신선한것,냉동]</t>
  </si>
  <si>
    <t>13</t>
  </si>
  <si>
    <t>한우(양지)/국용</t>
  </si>
  <si>
    <t>[1000g],[kg],[국산],[2등급 이상],[국용],[냉장,양지사태설도혼합,핏물없을것,진공포장]</t>
  </si>
  <si>
    <t>한우(우둔)/다진것</t>
  </si>
  <si>
    <t>[1000g],[kg],[국산],[2등급 이상],[다진것(.00)],[냉장,핏물없을것,진공포장,민찌사태 설도혼합]</t>
  </si>
  <si>
    <t>한우(우둔)/장조림용</t>
  </si>
  <si>
    <t>[1000g],[kg],[국산],[2등급 이상],[장조림용],[300~400g덩어리입고.힘줄 없을것.한우2등급이상/냉장육/]</t>
  </si>
  <si>
    <t>합계</t>
  </si>
  <si>
    <t>12월</t>
    <phoneticPr fontId="5" type="noConversion"/>
  </si>
  <si>
    <t>1월</t>
    <phoneticPr fontId="5" type="noConversion"/>
  </si>
  <si>
    <t>2월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</si>
</sst>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##,###"/>
  </numFmts>
  <fonts count="11">
    <font>
      <sz val="11"/>
      <color indexed="8"/>
      <name val="맑은 고딕"/>
      <family val="2"/>
      <scheme val="minor"/>
    </font>
    <font>
      <b/>
      <sz val="12"/>
      <name val="Malgun Gothic"/>
      <family val="3"/>
      <charset val="129"/>
    </font>
    <font>
      <b/>
      <sz val="9"/>
      <color rgb="FF343434"/>
      <name val="Malgun Gothic"/>
      <family val="3"/>
      <charset val="129"/>
    </font>
    <font>
      <sz val="9"/>
      <color rgb="FF343434"/>
      <name val="Malgun Gothic"/>
      <family val="3"/>
      <charset val="129"/>
    </font>
    <font>
      <sz val="9"/>
      <color rgb="FF343434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8"/>
      <color rgb="FF343434"/>
      <name val="Malgun Gothic"/>
      <family val="3"/>
      <charset val="129"/>
    </font>
    <font>
      <sz val="8"/>
      <color indexed="8"/>
      <name val="맑은 고딕"/>
      <family val="2"/>
      <scheme val="minor"/>
    </font>
    <font>
      <sz val="8"/>
      <color rgb="FF111111"/>
      <name val="NanumGothic"/>
      <family val="3"/>
      <charset val="129"/>
    </font>
    <font>
      <b/>
      <sz val="8"/>
      <color rgb="FF111111"/>
      <name val="NanumGothic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none">
        <f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D1E2F5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8D8883"/>
      </left>
      <right style="thin">
        <color rgb="FF8D8883"/>
      </right>
      <top style="thin">
        <color rgb="FF8D8883"/>
      </top>
      <bottom style="thin">
        <color rgb="FF8D8883"/>
      </bottom>
      <diagonal/>
    </border>
    <border>
      <left style="thin">
        <color rgb="FF8D8883"/>
      </left>
      <right/>
      <top/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7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  <xf numFmtId="0" fontId="6" fillId="4" borderId="0">
      <alignment vertical="center"/>
    </xf>
  </cellStyleXfs>
  <cellXfs count="2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0" fillId="0" borderId="0" xfId="0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41" fontId="8" fillId="0" borderId="0" xfId="1" applyFont="1">
      <alignment vertical="center"/>
    </xf>
    <xf numFmtId="176" fontId="10" fillId="9" borderId="4" xfId="4" applyNumberFormat="1" applyFont="1" applyFill="1" applyBorder="1" applyAlignment="1">
      <alignment horizontal="right" vertical="center" wrapText="1"/>
    </xf>
    <xf numFmtId="3" fontId="8" fillId="0" borderId="0" xfId="0" applyNumberFormat="1" applyFont="1">
      <alignment vertical="center"/>
    </xf>
    <xf numFmtId="3" fontId="9" fillId="8" borderId="3" xfId="5" applyNumberFormat="1" applyFont="1" applyFill="1" applyBorder="1" applyAlignment="1">
      <alignment horizontal="right" vertical="center" wrapText="1"/>
    </xf>
    <xf numFmtId="3" fontId="9" fillId="8" borderId="3" xfId="6" applyNumberFormat="1" applyFont="1" applyFill="1" applyBorder="1" applyAlignment="1">
      <alignment horizontal="right" vertical="center" wrapText="1"/>
    </xf>
    <xf numFmtId="41" fontId="8" fillId="10" borderId="0" xfId="0" applyNumberFormat="1" applyFont="1" applyFill="1">
      <alignment vertical="center"/>
    </xf>
    <xf numFmtId="41" fontId="8" fillId="10" borderId="0" xfId="1" applyFont="1" applyFill="1">
      <alignment vertical="center"/>
    </xf>
  </cellXfs>
  <cellStyles count="7">
    <cellStyle name="쉼표 [0]" xfId="1" builtinId="6"/>
    <cellStyle name="표준" xfId="0" builtinId="0"/>
    <cellStyle name="표준 2" xfId="2"/>
    <cellStyle name="표준 3" xfId="3"/>
    <cellStyle name="표준 4" xfId="4"/>
    <cellStyle name="표준 5" xfId="5"/>
    <cellStyle name="표준 6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Z21"/>
  <sheetViews>
    <sheetView tabSelected="1" workbookViewId="0">
      <selection activeCell="BK13" sqref="BK13"/>
    </sheetView>
  </sheetViews>
  <sheetFormatPr defaultRowHeight="16.5"/>
  <cols>
    <col min="2" max="2" width="25.875" customWidth="1"/>
    <col min="9" max="10" width="0" hidden="1" customWidth="1"/>
    <col min="12" max="14" width="0" hidden="1" customWidth="1"/>
    <col min="17" max="20" width="0" hidden="1" customWidth="1"/>
    <col min="24" max="48" width="0" hidden="1" customWidth="1"/>
    <col min="54" max="55" width="0" hidden="1" customWidth="1"/>
    <col min="57" max="58" width="0" hidden="1" customWidth="1"/>
    <col min="61" max="62" width="0" hidden="1" customWidth="1"/>
    <col min="67" max="67" width="5" bestFit="1" customWidth="1"/>
    <col min="68" max="68" width="11" bestFit="1" customWidth="1"/>
    <col min="69" max="69" width="9.625" customWidth="1"/>
    <col min="71" max="71" width="9" style="4"/>
    <col min="74" max="74" width="9" style="4"/>
    <col min="76" max="76" width="9" style="4"/>
    <col min="77" max="77" width="9.25" bestFit="1" customWidth="1"/>
    <col min="78" max="78" width="10.375" bestFit="1" customWidth="1"/>
  </cols>
  <sheetData>
    <row r="2" spans="1:78" ht="17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</row>
    <row r="3" spans="1:78">
      <c r="A3" s="2" t="s">
        <v>1</v>
      </c>
    </row>
    <row r="4" spans="1:78">
      <c r="A4" s="2" t="s">
        <v>2</v>
      </c>
    </row>
    <row r="5" spans="1:7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7" t="s">
        <v>14</v>
      </c>
      <c r="M5" s="7" t="s">
        <v>15</v>
      </c>
      <c r="N5" s="7" t="s">
        <v>16</v>
      </c>
      <c r="O5" s="7" t="s">
        <v>17</v>
      </c>
      <c r="P5" s="7" t="s">
        <v>18</v>
      </c>
      <c r="Q5" s="7" t="s">
        <v>19</v>
      </c>
      <c r="R5" s="7" t="s">
        <v>20</v>
      </c>
      <c r="S5" s="7" t="s">
        <v>21</v>
      </c>
      <c r="T5" s="7" t="s">
        <v>22</v>
      </c>
      <c r="U5" s="7" t="s">
        <v>23</v>
      </c>
      <c r="V5" s="7" t="s">
        <v>24</v>
      </c>
      <c r="W5" s="7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  <c r="AC5" s="1" t="s">
        <v>31</v>
      </c>
      <c r="AD5" s="1" t="s">
        <v>32</v>
      </c>
      <c r="AE5" s="1" t="s">
        <v>33</v>
      </c>
      <c r="AF5" s="1" t="s">
        <v>34</v>
      </c>
      <c r="AG5" s="1" t="s">
        <v>35</v>
      </c>
      <c r="AH5" s="1" t="s">
        <v>36</v>
      </c>
      <c r="AI5" s="1" t="s">
        <v>37</v>
      </c>
      <c r="AJ5" s="1" t="s">
        <v>38</v>
      </c>
      <c r="AK5" s="1" t="s">
        <v>39</v>
      </c>
      <c r="AL5" s="1" t="s">
        <v>40</v>
      </c>
      <c r="AM5" s="1" t="s">
        <v>41</v>
      </c>
      <c r="AN5" s="1" t="s">
        <v>42</v>
      </c>
      <c r="AO5" s="1" t="s">
        <v>43</v>
      </c>
      <c r="AP5" s="1" t="s">
        <v>44</v>
      </c>
      <c r="AQ5" s="1" t="s">
        <v>45</v>
      </c>
      <c r="AR5" s="1" t="s">
        <v>46</v>
      </c>
      <c r="AS5" s="1" t="s">
        <v>47</v>
      </c>
      <c r="AT5" s="1" t="s">
        <v>48</v>
      </c>
      <c r="AU5" s="1" t="s">
        <v>49</v>
      </c>
      <c r="AV5" s="1" t="s">
        <v>50</v>
      </c>
      <c r="AW5" s="8" t="s">
        <v>51</v>
      </c>
      <c r="AX5" s="8" t="s">
        <v>52</v>
      </c>
      <c r="AY5" s="8" t="s">
        <v>53</v>
      </c>
      <c r="AZ5" s="8" t="s">
        <v>54</v>
      </c>
      <c r="BA5" s="8" t="s">
        <v>55</v>
      </c>
      <c r="BB5" s="1" t="s">
        <v>56</v>
      </c>
      <c r="BC5" s="1" t="s">
        <v>57</v>
      </c>
      <c r="BD5" s="9" t="s">
        <v>58</v>
      </c>
      <c r="BE5" s="9" t="s">
        <v>59</v>
      </c>
      <c r="BF5" s="9" t="s">
        <v>60</v>
      </c>
      <c r="BG5" s="9" t="s">
        <v>61</v>
      </c>
      <c r="BH5" s="9" t="s">
        <v>62</v>
      </c>
      <c r="BI5" s="9" t="s">
        <v>63</v>
      </c>
      <c r="BJ5" s="9" t="s">
        <v>64</v>
      </c>
      <c r="BK5" s="9" t="s">
        <v>65</v>
      </c>
      <c r="BL5" s="9" t="s">
        <v>66</v>
      </c>
      <c r="BM5" s="9" t="s">
        <v>67</v>
      </c>
      <c r="BN5" s="1" t="s">
        <v>68</v>
      </c>
      <c r="BO5" s="11" t="s">
        <v>120</v>
      </c>
      <c r="BP5" s="12"/>
      <c r="BQ5" s="12"/>
      <c r="BR5" s="13" t="s">
        <v>121</v>
      </c>
      <c r="BS5" s="13"/>
      <c r="BT5" s="13"/>
      <c r="BU5" s="14" t="s">
        <v>122</v>
      </c>
      <c r="BV5" s="14"/>
      <c r="BW5" s="14"/>
      <c r="BX5" s="15"/>
      <c r="BY5" s="15"/>
      <c r="BZ5" s="15"/>
    </row>
    <row r="6" spans="1:78">
      <c r="A6" s="3" t="s">
        <v>69</v>
      </c>
      <c r="B6" s="3" t="s">
        <v>70</v>
      </c>
      <c r="C6" s="3" t="s">
        <v>71</v>
      </c>
      <c r="D6" s="3" t="s">
        <v>72</v>
      </c>
      <c r="E6" s="3" t="s">
        <v>73</v>
      </c>
      <c r="F6" s="3" t="s">
        <v>74</v>
      </c>
      <c r="G6" s="3" t="s">
        <v>75</v>
      </c>
      <c r="H6" s="3" t="s">
        <v>75</v>
      </c>
      <c r="I6" s="3" t="s">
        <v>75</v>
      </c>
      <c r="J6" s="3" t="s">
        <v>75</v>
      </c>
      <c r="K6" s="3" t="s">
        <v>75</v>
      </c>
      <c r="L6" s="3" t="s">
        <v>75</v>
      </c>
      <c r="M6" s="3" t="s">
        <v>75</v>
      </c>
      <c r="N6" s="3" t="s">
        <v>75</v>
      </c>
      <c r="O6" s="10">
        <v>15</v>
      </c>
      <c r="P6" s="3" t="s">
        <v>75</v>
      </c>
      <c r="Q6" s="3" t="s">
        <v>75</v>
      </c>
      <c r="R6" s="3" t="s">
        <v>75</v>
      </c>
      <c r="S6" s="3" t="s">
        <v>75</v>
      </c>
      <c r="T6" s="3" t="s">
        <v>75</v>
      </c>
      <c r="U6" s="3" t="s">
        <v>75</v>
      </c>
      <c r="V6" s="3" t="s">
        <v>75</v>
      </c>
      <c r="W6" s="3" t="s">
        <v>75</v>
      </c>
      <c r="X6" s="3" t="s">
        <v>75</v>
      </c>
      <c r="Y6" s="3" t="s">
        <v>75</v>
      </c>
      <c r="Z6" s="3" t="s">
        <v>75</v>
      </c>
      <c r="AA6" s="3" t="s">
        <v>75</v>
      </c>
      <c r="AB6" s="3" t="s">
        <v>75</v>
      </c>
      <c r="AC6" s="3" t="s">
        <v>75</v>
      </c>
      <c r="AD6" s="3" t="s">
        <v>75</v>
      </c>
      <c r="AE6" s="3" t="s">
        <v>75</v>
      </c>
      <c r="AF6" s="3" t="s">
        <v>75</v>
      </c>
      <c r="AG6" s="3" t="s">
        <v>75</v>
      </c>
      <c r="AH6" s="3" t="s">
        <v>75</v>
      </c>
      <c r="AI6" s="3" t="s">
        <v>75</v>
      </c>
      <c r="AJ6" s="3" t="s">
        <v>75</v>
      </c>
      <c r="AK6" s="3" t="s">
        <v>75</v>
      </c>
      <c r="AL6" s="3" t="s">
        <v>75</v>
      </c>
      <c r="AM6" s="3" t="s">
        <v>75</v>
      </c>
      <c r="AN6" s="3" t="s">
        <v>75</v>
      </c>
      <c r="AO6" s="3" t="s">
        <v>75</v>
      </c>
      <c r="AP6" s="3" t="s">
        <v>75</v>
      </c>
      <c r="AQ6" s="3" t="s">
        <v>75</v>
      </c>
      <c r="AR6" s="3" t="s">
        <v>75</v>
      </c>
      <c r="AS6" s="3" t="s">
        <v>75</v>
      </c>
      <c r="AT6" s="3" t="s">
        <v>75</v>
      </c>
      <c r="AU6" s="3" t="s">
        <v>75</v>
      </c>
      <c r="AV6" s="3" t="s">
        <v>75</v>
      </c>
      <c r="AW6" s="3" t="s">
        <v>75</v>
      </c>
      <c r="AX6" s="3" t="s">
        <v>75</v>
      </c>
      <c r="AY6" s="3" t="s">
        <v>75</v>
      </c>
      <c r="AZ6" s="3" t="s">
        <v>75</v>
      </c>
      <c r="BA6" s="3" t="s">
        <v>75</v>
      </c>
      <c r="BB6" s="3" t="s">
        <v>75</v>
      </c>
      <c r="BC6" s="3" t="s">
        <v>75</v>
      </c>
      <c r="BD6" s="3" t="s">
        <v>75</v>
      </c>
      <c r="BE6" s="3" t="s">
        <v>75</v>
      </c>
      <c r="BF6" s="3" t="s">
        <v>75</v>
      </c>
      <c r="BG6" s="3" t="s">
        <v>75</v>
      </c>
      <c r="BH6" s="3" t="s">
        <v>75</v>
      </c>
      <c r="BI6" s="3" t="s">
        <v>75</v>
      </c>
      <c r="BJ6" s="3" t="s">
        <v>75</v>
      </c>
      <c r="BK6" s="3" t="s">
        <v>75</v>
      </c>
      <c r="BL6" s="3" t="s">
        <v>75</v>
      </c>
      <c r="BM6" s="3" t="s">
        <v>75</v>
      </c>
      <c r="BN6" s="10">
        <v>15</v>
      </c>
      <c r="BO6" s="16">
        <f>SUM(G6:W6)</f>
        <v>15</v>
      </c>
      <c r="BP6" s="16">
        <f>BY6</f>
        <v>18000</v>
      </c>
      <c r="BQ6" s="16">
        <f>BO6*BP6</f>
        <v>270000</v>
      </c>
      <c r="BR6" s="15">
        <f>SUM(AW6:BA6)</f>
        <v>0</v>
      </c>
      <c r="BS6" s="18">
        <f>BY6</f>
        <v>18000</v>
      </c>
      <c r="BT6" s="16">
        <f>BR6*BS6</f>
        <v>0</v>
      </c>
      <c r="BU6" s="15">
        <f>SUM(BD6:BM6)</f>
        <v>0</v>
      </c>
      <c r="BV6" s="18">
        <f>BY6</f>
        <v>18000</v>
      </c>
      <c r="BW6" s="16">
        <f>BU6*BV6</f>
        <v>0</v>
      </c>
      <c r="BX6" s="15"/>
      <c r="BY6" s="19">
        <v>18000</v>
      </c>
      <c r="BZ6" s="20">
        <v>270000</v>
      </c>
    </row>
    <row r="7" spans="1:78">
      <c r="A7" s="3" t="s">
        <v>77</v>
      </c>
      <c r="B7" s="3" t="s">
        <v>78</v>
      </c>
      <c r="C7" s="3" t="s">
        <v>71</v>
      </c>
      <c r="D7" s="3" t="s">
        <v>79</v>
      </c>
      <c r="E7" s="3" t="s">
        <v>73</v>
      </c>
      <c r="F7" s="3" t="s">
        <v>80</v>
      </c>
      <c r="G7" s="3" t="s">
        <v>75</v>
      </c>
      <c r="H7" s="3" t="s">
        <v>75</v>
      </c>
      <c r="I7" s="3" t="s">
        <v>75</v>
      </c>
      <c r="J7" s="3" t="s">
        <v>75</v>
      </c>
      <c r="K7" s="3" t="s">
        <v>75</v>
      </c>
      <c r="L7" s="3" t="s">
        <v>75</v>
      </c>
      <c r="M7" s="3" t="s">
        <v>75</v>
      </c>
      <c r="N7" s="3" t="s">
        <v>75</v>
      </c>
      <c r="O7" s="3" t="s">
        <v>75</v>
      </c>
      <c r="P7" s="3" t="s">
        <v>75</v>
      </c>
      <c r="Q7" s="3" t="s">
        <v>75</v>
      </c>
      <c r="R7" s="3" t="s">
        <v>75</v>
      </c>
      <c r="S7" s="3" t="s">
        <v>75</v>
      </c>
      <c r="T7" s="3" t="s">
        <v>75</v>
      </c>
      <c r="U7" s="3" t="s">
        <v>75</v>
      </c>
      <c r="V7" s="3" t="s">
        <v>75</v>
      </c>
      <c r="W7" s="3" t="s">
        <v>75</v>
      </c>
      <c r="X7" s="3" t="s">
        <v>75</v>
      </c>
      <c r="Y7" s="3" t="s">
        <v>75</v>
      </c>
      <c r="Z7" s="3" t="s">
        <v>75</v>
      </c>
      <c r="AA7" s="3" t="s">
        <v>75</v>
      </c>
      <c r="AB7" s="3" t="s">
        <v>75</v>
      </c>
      <c r="AC7" s="3" t="s">
        <v>75</v>
      </c>
      <c r="AD7" s="3" t="s">
        <v>75</v>
      </c>
      <c r="AE7" s="3" t="s">
        <v>75</v>
      </c>
      <c r="AF7" s="3" t="s">
        <v>75</v>
      </c>
      <c r="AG7" s="3" t="s">
        <v>75</v>
      </c>
      <c r="AH7" s="3" t="s">
        <v>75</v>
      </c>
      <c r="AI7" s="3" t="s">
        <v>75</v>
      </c>
      <c r="AJ7" s="3" t="s">
        <v>75</v>
      </c>
      <c r="AK7" s="3" t="s">
        <v>75</v>
      </c>
      <c r="AL7" s="3" t="s">
        <v>75</v>
      </c>
      <c r="AM7" s="3" t="s">
        <v>75</v>
      </c>
      <c r="AN7" s="3" t="s">
        <v>75</v>
      </c>
      <c r="AO7" s="3" t="s">
        <v>75</v>
      </c>
      <c r="AP7" s="3" t="s">
        <v>75</v>
      </c>
      <c r="AQ7" s="3" t="s">
        <v>75</v>
      </c>
      <c r="AR7" s="3" t="s">
        <v>75</v>
      </c>
      <c r="AS7" s="3" t="s">
        <v>75</v>
      </c>
      <c r="AT7" s="3" t="s">
        <v>75</v>
      </c>
      <c r="AU7" s="3" t="s">
        <v>75</v>
      </c>
      <c r="AV7" s="3" t="s">
        <v>75</v>
      </c>
      <c r="AW7" s="3" t="s">
        <v>75</v>
      </c>
      <c r="AX7" s="3" t="s">
        <v>75</v>
      </c>
      <c r="AY7" s="3" t="s">
        <v>75</v>
      </c>
      <c r="AZ7" s="3" t="s">
        <v>75</v>
      </c>
      <c r="BA7" s="3" t="s">
        <v>75</v>
      </c>
      <c r="BB7" s="3" t="s">
        <v>75</v>
      </c>
      <c r="BC7" s="3" t="s">
        <v>75</v>
      </c>
      <c r="BD7" s="3" t="s">
        <v>75</v>
      </c>
      <c r="BE7" s="3" t="s">
        <v>75</v>
      </c>
      <c r="BF7" s="3" t="s">
        <v>75</v>
      </c>
      <c r="BG7" s="10">
        <v>14</v>
      </c>
      <c r="BH7" s="3" t="s">
        <v>75</v>
      </c>
      <c r="BI7" s="3" t="s">
        <v>75</v>
      </c>
      <c r="BJ7" s="3" t="s">
        <v>75</v>
      </c>
      <c r="BK7" s="3" t="s">
        <v>75</v>
      </c>
      <c r="BL7" s="3" t="s">
        <v>75</v>
      </c>
      <c r="BM7" s="3" t="s">
        <v>75</v>
      </c>
      <c r="BN7" s="10">
        <v>14</v>
      </c>
      <c r="BO7" s="16">
        <f t="shared" ref="BO7:BO20" si="0">SUM(G7:W7)</f>
        <v>0</v>
      </c>
      <c r="BP7" s="16">
        <f t="shared" ref="BP7:BP20" si="1">BY7</f>
        <v>12000</v>
      </c>
      <c r="BQ7" s="16">
        <f t="shared" ref="BQ7:BQ20" si="2">BO7*BP7</f>
        <v>0</v>
      </c>
      <c r="BR7" s="15">
        <f t="shared" ref="BR7:BR20" si="3">SUM(AW7:BA7)</f>
        <v>0</v>
      </c>
      <c r="BS7" s="18">
        <f t="shared" ref="BS7:BS20" si="4">BY7</f>
        <v>12000</v>
      </c>
      <c r="BT7" s="16">
        <f t="shared" ref="BT7:BT20" si="5">BR7*BS7</f>
        <v>0</v>
      </c>
      <c r="BU7" s="15">
        <f t="shared" ref="BU7:BU20" si="6">SUM(BD7:BM7)</f>
        <v>14</v>
      </c>
      <c r="BV7" s="18">
        <f t="shared" ref="BV7:BV20" si="7">BY7</f>
        <v>12000</v>
      </c>
      <c r="BW7" s="16">
        <f t="shared" ref="BW7:BW20" si="8">BU7*BV7</f>
        <v>168000</v>
      </c>
      <c r="BX7" s="15"/>
      <c r="BY7" s="19">
        <v>12000</v>
      </c>
      <c r="BZ7" s="20">
        <v>168000</v>
      </c>
    </row>
    <row r="8" spans="1:78">
      <c r="A8" s="3" t="s">
        <v>82</v>
      </c>
      <c r="B8" s="3" t="s">
        <v>83</v>
      </c>
      <c r="C8" s="3" t="s">
        <v>71</v>
      </c>
      <c r="D8" s="3" t="s">
        <v>79</v>
      </c>
      <c r="E8" s="3" t="s">
        <v>73</v>
      </c>
      <c r="F8" s="3" t="s">
        <v>84</v>
      </c>
      <c r="G8" s="3" t="s">
        <v>75</v>
      </c>
      <c r="H8" s="3" t="s">
        <v>75</v>
      </c>
      <c r="I8" s="3" t="s">
        <v>75</v>
      </c>
      <c r="J8" s="3" t="s">
        <v>75</v>
      </c>
      <c r="K8" s="3" t="s">
        <v>75</v>
      </c>
      <c r="L8" s="3" t="s">
        <v>75</v>
      </c>
      <c r="M8" s="3" t="s">
        <v>75</v>
      </c>
      <c r="N8" s="3" t="s">
        <v>75</v>
      </c>
      <c r="O8" s="3" t="s">
        <v>75</v>
      </c>
      <c r="P8" s="10">
        <v>58</v>
      </c>
      <c r="Q8" s="3" t="s">
        <v>75</v>
      </c>
      <c r="R8" s="3" t="s">
        <v>75</v>
      </c>
      <c r="S8" s="3" t="s">
        <v>75</v>
      </c>
      <c r="T8" s="3" t="s">
        <v>75</v>
      </c>
      <c r="U8" s="3" t="s">
        <v>75</v>
      </c>
      <c r="V8" s="3" t="s">
        <v>75</v>
      </c>
      <c r="W8" s="3" t="s">
        <v>75</v>
      </c>
      <c r="X8" s="3" t="s">
        <v>75</v>
      </c>
      <c r="Y8" s="3" t="s">
        <v>75</v>
      </c>
      <c r="Z8" s="3" t="s">
        <v>75</v>
      </c>
      <c r="AA8" s="3" t="s">
        <v>75</v>
      </c>
      <c r="AB8" s="3" t="s">
        <v>75</v>
      </c>
      <c r="AC8" s="3" t="s">
        <v>75</v>
      </c>
      <c r="AD8" s="3" t="s">
        <v>75</v>
      </c>
      <c r="AE8" s="3" t="s">
        <v>75</v>
      </c>
      <c r="AF8" s="3" t="s">
        <v>75</v>
      </c>
      <c r="AG8" s="3" t="s">
        <v>75</v>
      </c>
      <c r="AH8" s="3" t="s">
        <v>75</v>
      </c>
      <c r="AI8" s="3" t="s">
        <v>75</v>
      </c>
      <c r="AJ8" s="3" t="s">
        <v>75</v>
      </c>
      <c r="AK8" s="3" t="s">
        <v>75</v>
      </c>
      <c r="AL8" s="3" t="s">
        <v>75</v>
      </c>
      <c r="AM8" s="3" t="s">
        <v>75</v>
      </c>
      <c r="AN8" s="3" t="s">
        <v>75</v>
      </c>
      <c r="AO8" s="3" t="s">
        <v>75</v>
      </c>
      <c r="AP8" s="3" t="s">
        <v>75</v>
      </c>
      <c r="AQ8" s="3" t="s">
        <v>75</v>
      </c>
      <c r="AR8" s="3" t="s">
        <v>75</v>
      </c>
      <c r="AS8" s="3" t="s">
        <v>75</v>
      </c>
      <c r="AT8" s="3" t="s">
        <v>75</v>
      </c>
      <c r="AU8" s="3" t="s">
        <v>75</v>
      </c>
      <c r="AV8" s="3" t="s">
        <v>75</v>
      </c>
      <c r="AW8" s="3" t="s">
        <v>75</v>
      </c>
      <c r="AX8" s="3" t="s">
        <v>75</v>
      </c>
      <c r="AY8" s="3" t="s">
        <v>75</v>
      </c>
      <c r="AZ8" s="3" t="s">
        <v>75</v>
      </c>
      <c r="BA8" s="10">
        <v>55</v>
      </c>
      <c r="BB8" s="3" t="s">
        <v>75</v>
      </c>
      <c r="BC8" s="3" t="s">
        <v>75</v>
      </c>
      <c r="BD8" s="3" t="s">
        <v>75</v>
      </c>
      <c r="BE8" s="3" t="s">
        <v>75</v>
      </c>
      <c r="BF8" s="3" t="s">
        <v>75</v>
      </c>
      <c r="BG8" s="3" t="s">
        <v>75</v>
      </c>
      <c r="BH8" s="3" t="s">
        <v>75</v>
      </c>
      <c r="BI8" s="3" t="s">
        <v>75</v>
      </c>
      <c r="BJ8" s="3" t="s">
        <v>75</v>
      </c>
      <c r="BK8" s="10">
        <v>55</v>
      </c>
      <c r="BL8" s="3" t="s">
        <v>75</v>
      </c>
      <c r="BM8" s="3" t="s">
        <v>75</v>
      </c>
      <c r="BN8" s="10">
        <v>168</v>
      </c>
      <c r="BO8" s="16">
        <f t="shared" si="0"/>
        <v>58</v>
      </c>
      <c r="BP8" s="16">
        <f t="shared" si="1"/>
        <v>21000</v>
      </c>
      <c r="BQ8" s="16">
        <f>BO8*BP8</f>
        <v>1218000</v>
      </c>
      <c r="BR8" s="15">
        <f t="shared" si="3"/>
        <v>55</v>
      </c>
      <c r="BS8" s="18">
        <f t="shared" si="4"/>
        <v>21000</v>
      </c>
      <c r="BT8" s="16">
        <f t="shared" si="5"/>
        <v>1155000</v>
      </c>
      <c r="BU8" s="15">
        <f t="shared" si="6"/>
        <v>55</v>
      </c>
      <c r="BV8" s="18">
        <f t="shared" si="7"/>
        <v>21000</v>
      </c>
      <c r="BW8" s="16">
        <f t="shared" si="8"/>
        <v>1155000</v>
      </c>
      <c r="BX8" s="15"/>
      <c r="BY8" s="19">
        <v>21000</v>
      </c>
      <c r="BZ8" s="20">
        <v>3528000</v>
      </c>
    </row>
    <row r="9" spans="1:78">
      <c r="A9" s="3" t="s">
        <v>85</v>
      </c>
      <c r="B9" s="3" t="s">
        <v>86</v>
      </c>
      <c r="C9" s="3" t="s">
        <v>71</v>
      </c>
      <c r="D9" s="3" t="s">
        <v>79</v>
      </c>
      <c r="E9" s="3" t="s">
        <v>73</v>
      </c>
      <c r="F9" s="3" t="s">
        <v>87</v>
      </c>
      <c r="G9" s="3" t="s">
        <v>75</v>
      </c>
      <c r="H9" s="3" t="s">
        <v>75</v>
      </c>
      <c r="I9" s="3" t="s">
        <v>75</v>
      </c>
      <c r="J9" s="3" t="s">
        <v>75</v>
      </c>
      <c r="K9" s="3" t="s">
        <v>75</v>
      </c>
      <c r="L9" s="3" t="s">
        <v>75</v>
      </c>
      <c r="M9" s="3" t="s">
        <v>75</v>
      </c>
      <c r="N9" s="3" t="s">
        <v>75</v>
      </c>
      <c r="O9" s="3" t="s">
        <v>75</v>
      </c>
      <c r="P9" s="3" t="s">
        <v>75</v>
      </c>
      <c r="Q9" s="3" t="s">
        <v>75</v>
      </c>
      <c r="R9" s="3" t="s">
        <v>75</v>
      </c>
      <c r="S9" s="3" t="s">
        <v>75</v>
      </c>
      <c r="T9" s="3" t="s">
        <v>75</v>
      </c>
      <c r="U9" s="3" t="s">
        <v>75</v>
      </c>
      <c r="V9" s="3" t="s">
        <v>75</v>
      </c>
      <c r="W9" s="10">
        <v>70</v>
      </c>
      <c r="X9" s="3" t="s">
        <v>75</v>
      </c>
      <c r="Y9" s="3" t="s">
        <v>75</v>
      </c>
      <c r="Z9" s="3" t="s">
        <v>75</v>
      </c>
      <c r="AA9" s="3" t="s">
        <v>75</v>
      </c>
      <c r="AB9" s="3" t="s">
        <v>75</v>
      </c>
      <c r="AC9" s="3" t="s">
        <v>75</v>
      </c>
      <c r="AD9" s="3" t="s">
        <v>75</v>
      </c>
      <c r="AE9" s="3" t="s">
        <v>75</v>
      </c>
      <c r="AF9" s="3" t="s">
        <v>75</v>
      </c>
      <c r="AG9" s="3" t="s">
        <v>75</v>
      </c>
      <c r="AH9" s="3" t="s">
        <v>75</v>
      </c>
      <c r="AI9" s="3" t="s">
        <v>75</v>
      </c>
      <c r="AJ9" s="3" t="s">
        <v>75</v>
      </c>
      <c r="AK9" s="3" t="s">
        <v>75</v>
      </c>
      <c r="AL9" s="3" t="s">
        <v>75</v>
      </c>
      <c r="AM9" s="3" t="s">
        <v>75</v>
      </c>
      <c r="AN9" s="3" t="s">
        <v>75</v>
      </c>
      <c r="AO9" s="3" t="s">
        <v>75</v>
      </c>
      <c r="AP9" s="3" t="s">
        <v>75</v>
      </c>
      <c r="AQ9" s="3" t="s">
        <v>75</v>
      </c>
      <c r="AR9" s="3" t="s">
        <v>75</v>
      </c>
      <c r="AS9" s="3" t="s">
        <v>75</v>
      </c>
      <c r="AT9" s="3" t="s">
        <v>75</v>
      </c>
      <c r="AU9" s="3" t="s">
        <v>75</v>
      </c>
      <c r="AV9" s="3" t="s">
        <v>75</v>
      </c>
      <c r="AW9" s="3" t="s">
        <v>75</v>
      </c>
      <c r="AX9" s="3" t="s">
        <v>75</v>
      </c>
      <c r="AY9" s="3" t="s">
        <v>75</v>
      </c>
      <c r="AZ9" s="3" t="s">
        <v>75</v>
      </c>
      <c r="BA9" s="3" t="s">
        <v>75</v>
      </c>
      <c r="BB9" s="3" t="s">
        <v>75</v>
      </c>
      <c r="BC9" s="3" t="s">
        <v>75</v>
      </c>
      <c r="BD9" s="3" t="s">
        <v>75</v>
      </c>
      <c r="BE9" s="3" t="s">
        <v>75</v>
      </c>
      <c r="BF9" s="3" t="s">
        <v>75</v>
      </c>
      <c r="BG9" s="3" t="s">
        <v>75</v>
      </c>
      <c r="BH9" s="3" t="s">
        <v>75</v>
      </c>
      <c r="BI9" s="3" t="s">
        <v>75</v>
      </c>
      <c r="BJ9" s="3" t="s">
        <v>75</v>
      </c>
      <c r="BK9" s="3" t="s">
        <v>75</v>
      </c>
      <c r="BL9" s="3" t="s">
        <v>75</v>
      </c>
      <c r="BM9" s="10">
        <v>70</v>
      </c>
      <c r="BN9" s="10">
        <v>140</v>
      </c>
      <c r="BO9" s="16">
        <f t="shared" si="0"/>
        <v>70</v>
      </c>
      <c r="BP9" s="16">
        <f t="shared" si="1"/>
        <v>21000</v>
      </c>
      <c r="BQ9" s="16">
        <f>BO9*BP9</f>
        <v>1470000</v>
      </c>
      <c r="BR9" s="15">
        <f t="shared" si="3"/>
        <v>0</v>
      </c>
      <c r="BS9" s="18">
        <f t="shared" si="4"/>
        <v>21000</v>
      </c>
      <c r="BT9" s="16">
        <f t="shared" si="5"/>
        <v>0</v>
      </c>
      <c r="BU9" s="15">
        <f t="shared" si="6"/>
        <v>70</v>
      </c>
      <c r="BV9" s="18">
        <f t="shared" si="7"/>
        <v>21000</v>
      </c>
      <c r="BW9" s="16">
        <f t="shared" si="8"/>
        <v>1470000</v>
      </c>
      <c r="BX9" s="15"/>
      <c r="BY9" s="19">
        <v>21000</v>
      </c>
      <c r="BZ9" s="20">
        <v>2940000</v>
      </c>
    </row>
    <row r="10" spans="1:78">
      <c r="A10" s="3" t="s">
        <v>88</v>
      </c>
      <c r="B10" s="3" t="s">
        <v>89</v>
      </c>
      <c r="C10" s="3" t="s">
        <v>71</v>
      </c>
      <c r="D10" s="3" t="s">
        <v>79</v>
      </c>
      <c r="E10" s="3" t="s">
        <v>73</v>
      </c>
      <c r="F10" s="3" t="s">
        <v>90</v>
      </c>
      <c r="G10" s="3" t="s">
        <v>75</v>
      </c>
      <c r="H10" s="3" t="s">
        <v>75</v>
      </c>
      <c r="I10" s="3" t="s">
        <v>75</v>
      </c>
      <c r="J10" s="3" t="s">
        <v>75</v>
      </c>
      <c r="K10" s="3" t="s">
        <v>75</v>
      </c>
      <c r="L10" s="3" t="s">
        <v>75</v>
      </c>
      <c r="M10" s="3" t="s">
        <v>75</v>
      </c>
      <c r="N10" s="3" t="s">
        <v>75</v>
      </c>
      <c r="O10" s="3" t="s">
        <v>75</v>
      </c>
      <c r="P10" s="3" t="s">
        <v>75</v>
      </c>
      <c r="Q10" s="3" t="s">
        <v>75</v>
      </c>
      <c r="R10" s="3" t="s">
        <v>75</v>
      </c>
      <c r="S10" s="3" t="s">
        <v>75</v>
      </c>
      <c r="T10" s="3" t="s">
        <v>75</v>
      </c>
      <c r="U10" s="3" t="s">
        <v>75</v>
      </c>
      <c r="V10" s="3" t="s">
        <v>75</v>
      </c>
      <c r="W10" s="3" t="s">
        <v>75</v>
      </c>
      <c r="X10" s="3" t="s">
        <v>75</v>
      </c>
      <c r="Y10" s="3" t="s">
        <v>75</v>
      </c>
      <c r="Z10" s="3" t="s">
        <v>75</v>
      </c>
      <c r="AA10" s="3" t="s">
        <v>75</v>
      </c>
      <c r="AB10" s="3" t="s">
        <v>75</v>
      </c>
      <c r="AC10" s="3" t="s">
        <v>75</v>
      </c>
      <c r="AD10" s="3" t="s">
        <v>75</v>
      </c>
      <c r="AE10" s="3" t="s">
        <v>75</v>
      </c>
      <c r="AF10" s="3" t="s">
        <v>75</v>
      </c>
      <c r="AG10" s="3" t="s">
        <v>75</v>
      </c>
      <c r="AH10" s="3" t="s">
        <v>75</v>
      </c>
      <c r="AI10" s="3" t="s">
        <v>75</v>
      </c>
      <c r="AJ10" s="3" t="s">
        <v>75</v>
      </c>
      <c r="AK10" s="3" t="s">
        <v>75</v>
      </c>
      <c r="AL10" s="3" t="s">
        <v>75</v>
      </c>
      <c r="AM10" s="3" t="s">
        <v>75</v>
      </c>
      <c r="AN10" s="3" t="s">
        <v>75</v>
      </c>
      <c r="AO10" s="3" t="s">
        <v>75</v>
      </c>
      <c r="AP10" s="3" t="s">
        <v>75</v>
      </c>
      <c r="AQ10" s="3" t="s">
        <v>75</v>
      </c>
      <c r="AR10" s="3" t="s">
        <v>75</v>
      </c>
      <c r="AS10" s="3" t="s">
        <v>75</v>
      </c>
      <c r="AT10" s="3" t="s">
        <v>75</v>
      </c>
      <c r="AU10" s="3" t="s">
        <v>75</v>
      </c>
      <c r="AV10" s="3" t="s">
        <v>75</v>
      </c>
      <c r="AW10" s="3" t="s">
        <v>75</v>
      </c>
      <c r="AX10" s="3" t="s">
        <v>75</v>
      </c>
      <c r="AY10" s="3" t="s">
        <v>75</v>
      </c>
      <c r="AZ10" s="3" t="s">
        <v>75</v>
      </c>
      <c r="BA10" s="3" t="s">
        <v>75</v>
      </c>
      <c r="BB10" s="3" t="s">
        <v>75</v>
      </c>
      <c r="BC10" s="3" t="s">
        <v>75</v>
      </c>
      <c r="BD10" s="10">
        <v>12</v>
      </c>
      <c r="BE10" s="3" t="s">
        <v>75</v>
      </c>
      <c r="BF10" s="3" t="s">
        <v>75</v>
      </c>
      <c r="BG10" s="3" t="s">
        <v>75</v>
      </c>
      <c r="BH10" s="3" t="s">
        <v>75</v>
      </c>
      <c r="BI10" s="3" t="s">
        <v>75</v>
      </c>
      <c r="BJ10" s="3" t="s">
        <v>75</v>
      </c>
      <c r="BK10" s="3" t="s">
        <v>75</v>
      </c>
      <c r="BL10" s="3" t="s">
        <v>75</v>
      </c>
      <c r="BM10" s="3" t="s">
        <v>75</v>
      </c>
      <c r="BN10" s="10">
        <v>12</v>
      </c>
      <c r="BO10" s="16">
        <f t="shared" si="0"/>
        <v>0</v>
      </c>
      <c r="BP10" s="16">
        <f t="shared" si="1"/>
        <v>35000</v>
      </c>
      <c r="BQ10" s="16">
        <f t="shared" si="2"/>
        <v>0</v>
      </c>
      <c r="BR10" s="15">
        <f t="shared" si="3"/>
        <v>0</v>
      </c>
      <c r="BS10" s="18">
        <f t="shared" si="4"/>
        <v>35000</v>
      </c>
      <c r="BT10" s="16">
        <f t="shared" si="5"/>
        <v>0</v>
      </c>
      <c r="BU10" s="15">
        <f t="shared" si="6"/>
        <v>12</v>
      </c>
      <c r="BV10" s="18">
        <f t="shared" si="7"/>
        <v>35000</v>
      </c>
      <c r="BW10" s="16">
        <f t="shared" si="8"/>
        <v>420000</v>
      </c>
      <c r="BX10" s="15"/>
      <c r="BY10" s="19">
        <v>35000</v>
      </c>
      <c r="BZ10" s="20">
        <v>420000</v>
      </c>
    </row>
    <row r="11" spans="1:78">
      <c r="A11" s="3" t="s">
        <v>92</v>
      </c>
      <c r="B11" s="3" t="s">
        <v>93</v>
      </c>
      <c r="C11" s="3" t="s">
        <v>71</v>
      </c>
      <c r="D11" s="3" t="s">
        <v>79</v>
      </c>
      <c r="E11" s="3" t="s">
        <v>73</v>
      </c>
      <c r="F11" s="3" t="s">
        <v>94</v>
      </c>
      <c r="G11" s="10">
        <v>65</v>
      </c>
      <c r="H11" s="3" t="s">
        <v>75</v>
      </c>
      <c r="I11" s="3" t="s">
        <v>75</v>
      </c>
      <c r="J11" s="3" t="s">
        <v>75</v>
      </c>
      <c r="K11" s="3" t="s">
        <v>75</v>
      </c>
      <c r="L11" s="3" t="s">
        <v>75</v>
      </c>
      <c r="M11" s="3" t="s">
        <v>75</v>
      </c>
      <c r="N11" s="3" t="s">
        <v>75</v>
      </c>
      <c r="O11" s="3" t="s">
        <v>75</v>
      </c>
      <c r="P11" s="3" t="s">
        <v>75</v>
      </c>
      <c r="Q11" s="3" t="s">
        <v>75</v>
      </c>
      <c r="R11" s="3" t="s">
        <v>75</v>
      </c>
      <c r="S11" s="3" t="s">
        <v>75</v>
      </c>
      <c r="T11" s="3" t="s">
        <v>75</v>
      </c>
      <c r="U11" s="3" t="s">
        <v>75</v>
      </c>
      <c r="V11" s="10">
        <v>65</v>
      </c>
      <c r="W11" s="3" t="s">
        <v>75</v>
      </c>
      <c r="X11" s="3" t="s">
        <v>75</v>
      </c>
      <c r="Y11" s="3" t="s">
        <v>75</v>
      </c>
      <c r="Z11" s="3" t="s">
        <v>75</v>
      </c>
      <c r="AA11" s="3" t="s">
        <v>75</v>
      </c>
      <c r="AB11" s="3" t="s">
        <v>75</v>
      </c>
      <c r="AC11" s="3" t="s">
        <v>75</v>
      </c>
      <c r="AD11" s="3" t="s">
        <v>75</v>
      </c>
      <c r="AE11" s="3" t="s">
        <v>75</v>
      </c>
      <c r="AF11" s="3" t="s">
        <v>75</v>
      </c>
      <c r="AG11" s="3" t="s">
        <v>75</v>
      </c>
      <c r="AH11" s="3" t="s">
        <v>75</v>
      </c>
      <c r="AI11" s="3" t="s">
        <v>75</v>
      </c>
      <c r="AJ11" s="3" t="s">
        <v>75</v>
      </c>
      <c r="AK11" s="3" t="s">
        <v>75</v>
      </c>
      <c r="AL11" s="3" t="s">
        <v>75</v>
      </c>
      <c r="AM11" s="3" t="s">
        <v>75</v>
      </c>
      <c r="AN11" s="3" t="s">
        <v>75</v>
      </c>
      <c r="AO11" s="3" t="s">
        <v>75</v>
      </c>
      <c r="AP11" s="3" t="s">
        <v>75</v>
      </c>
      <c r="AQ11" s="3" t="s">
        <v>75</v>
      </c>
      <c r="AR11" s="3" t="s">
        <v>75</v>
      </c>
      <c r="AS11" s="3" t="s">
        <v>75</v>
      </c>
      <c r="AT11" s="3" t="s">
        <v>75</v>
      </c>
      <c r="AU11" s="3" t="s">
        <v>75</v>
      </c>
      <c r="AV11" s="3" t="s">
        <v>75</v>
      </c>
      <c r="AW11" s="10">
        <v>60</v>
      </c>
      <c r="AX11" s="3" t="s">
        <v>75</v>
      </c>
      <c r="AY11" s="3" t="s">
        <v>75</v>
      </c>
      <c r="AZ11" s="3" t="s">
        <v>75</v>
      </c>
      <c r="BA11" s="3" t="s">
        <v>75</v>
      </c>
      <c r="BB11" s="3" t="s">
        <v>75</v>
      </c>
      <c r="BC11" s="3" t="s">
        <v>75</v>
      </c>
      <c r="BD11" s="10">
        <v>12</v>
      </c>
      <c r="BE11" s="3" t="s">
        <v>75</v>
      </c>
      <c r="BF11" s="3" t="s">
        <v>75</v>
      </c>
      <c r="BG11" s="3" t="s">
        <v>75</v>
      </c>
      <c r="BH11" s="10">
        <v>65</v>
      </c>
      <c r="BI11" s="3" t="s">
        <v>75</v>
      </c>
      <c r="BJ11" s="3" t="s">
        <v>75</v>
      </c>
      <c r="BK11" s="3" t="s">
        <v>75</v>
      </c>
      <c r="BL11" s="3" t="s">
        <v>75</v>
      </c>
      <c r="BM11" s="3" t="s">
        <v>75</v>
      </c>
      <c r="BN11" s="10">
        <v>267</v>
      </c>
      <c r="BO11" s="16">
        <f t="shared" si="0"/>
        <v>130</v>
      </c>
      <c r="BP11" s="16">
        <f t="shared" si="1"/>
        <v>14000</v>
      </c>
      <c r="BQ11" s="16">
        <f t="shared" si="2"/>
        <v>1820000</v>
      </c>
      <c r="BR11" s="15">
        <f t="shared" si="3"/>
        <v>60</v>
      </c>
      <c r="BS11" s="18">
        <f t="shared" si="4"/>
        <v>14000</v>
      </c>
      <c r="BT11" s="16">
        <f t="shared" si="5"/>
        <v>840000</v>
      </c>
      <c r="BU11" s="15">
        <f t="shared" si="6"/>
        <v>77</v>
      </c>
      <c r="BV11" s="18">
        <f t="shared" si="7"/>
        <v>14000</v>
      </c>
      <c r="BW11" s="16">
        <f t="shared" si="8"/>
        <v>1078000</v>
      </c>
      <c r="BX11" s="15"/>
      <c r="BY11" s="19">
        <v>14000</v>
      </c>
      <c r="BZ11" s="20">
        <v>3738000</v>
      </c>
    </row>
    <row r="12" spans="1:78">
      <c r="A12" s="3" t="s">
        <v>95</v>
      </c>
      <c r="B12" s="3" t="s">
        <v>96</v>
      </c>
      <c r="C12" s="3" t="s">
        <v>71</v>
      </c>
      <c r="D12" s="3" t="s">
        <v>79</v>
      </c>
      <c r="E12" s="3" t="s">
        <v>73</v>
      </c>
      <c r="F12" s="3" t="s">
        <v>97</v>
      </c>
      <c r="G12" s="3" t="s">
        <v>75</v>
      </c>
      <c r="H12" s="3" t="s">
        <v>75</v>
      </c>
      <c r="I12" s="3" t="s">
        <v>75</v>
      </c>
      <c r="J12" s="3" t="s">
        <v>75</v>
      </c>
      <c r="K12" s="3" t="s">
        <v>75</v>
      </c>
      <c r="L12" s="3" t="s">
        <v>75</v>
      </c>
      <c r="M12" s="3" t="s">
        <v>75</v>
      </c>
      <c r="N12" s="3" t="s">
        <v>75</v>
      </c>
      <c r="O12" s="3" t="s">
        <v>75</v>
      </c>
      <c r="P12" s="3" t="s">
        <v>75</v>
      </c>
      <c r="Q12" s="3" t="s">
        <v>75</v>
      </c>
      <c r="R12" s="3" t="s">
        <v>75</v>
      </c>
      <c r="S12" s="3" t="s">
        <v>75</v>
      </c>
      <c r="T12" s="3" t="s">
        <v>75</v>
      </c>
      <c r="U12" s="3" t="s">
        <v>75</v>
      </c>
      <c r="V12" s="3" t="s">
        <v>75</v>
      </c>
      <c r="W12" s="3" t="s">
        <v>75</v>
      </c>
      <c r="X12" s="3" t="s">
        <v>75</v>
      </c>
      <c r="Y12" s="3" t="s">
        <v>75</v>
      </c>
      <c r="Z12" s="3" t="s">
        <v>75</v>
      </c>
      <c r="AA12" s="3" t="s">
        <v>75</v>
      </c>
      <c r="AB12" s="3" t="s">
        <v>75</v>
      </c>
      <c r="AC12" s="3" t="s">
        <v>75</v>
      </c>
      <c r="AD12" s="3" t="s">
        <v>75</v>
      </c>
      <c r="AE12" s="3" t="s">
        <v>75</v>
      </c>
      <c r="AF12" s="3" t="s">
        <v>75</v>
      </c>
      <c r="AG12" s="3" t="s">
        <v>75</v>
      </c>
      <c r="AH12" s="3" t="s">
        <v>75</v>
      </c>
      <c r="AI12" s="3" t="s">
        <v>75</v>
      </c>
      <c r="AJ12" s="3" t="s">
        <v>75</v>
      </c>
      <c r="AK12" s="3" t="s">
        <v>75</v>
      </c>
      <c r="AL12" s="3" t="s">
        <v>75</v>
      </c>
      <c r="AM12" s="3" t="s">
        <v>75</v>
      </c>
      <c r="AN12" s="3" t="s">
        <v>75</v>
      </c>
      <c r="AO12" s="3" t="s">
        <v>75</v>
      </c>
      <c r="AP12" s="3" t="s">
        <v>75</v>
      </c>
      <c r="AQ12" s="3" t="s">
        <v>75</v>
      </c>
      <c r="AR12" s="3" t="s">
        <v>75</v>
      </c>
      <c r="AS12" s="3" t="s">
        <v>75</v>
      </c>
      <c r="AT12" s="3" t="s">
        <v>75</v>
      </c>
      <c r="AU12" s="3" t="s">
        <v>75</v>
      </c>
      <c r="AV12" s="3" t="s">
        <v>75</v>
      </c>
      <c r="AW12" s="3" t="s">
        <v>75</v>
      </c>
      <c r="AX12" s="10">
        <v>11</v>
      </c>
      <c r="AY12" s="3" t="s">
        <v>75</v>
      </c>
      <c r="AZ12" s="3" t="s">
        <v>75</v>
      </c>
      <c r="BA12" s="3" t="s">
        <v>75</v>
      </c>
      <c r="BB12" s="3" t="s">
        <v>75</v>
      </c>
      <c r="BC12" s="3" t="s">
        <v>75</v>
      </c>
      <c r="BD12" s="3" t="s">
        <v>75</v>
      </c>
      <c r="BE12" s="3" t="s">
        <v>75</v>
      </c>
      <c r="BF12" s="3" t="s">
        <v>75</v>
      </c>
      <c r="BG12" s="3" t="s">
        <v>75</v>
      </c>
      <c r="BH12" s="3" t="s">
        <v>75</v>
      </c>
      <c r="BI12" s="3" t="s">
        <v>75</v>
      </c>
      <c r="BJ12" s="3" t="s">
        <v>75</v>
      </c>
      <c r="BK12" s="3" t="s">
        <v>75</v>
      </c>
      <c r="BL12" s="3" t="s">
        <v>75</v>
      </c>
      <c r="BM12" s="3" t="s">
        <v>75</v>
      </c>
      <c r="BN12" s="10">
        <v>11</v>
      </c>
      <c r="BO12" s="16">
        <f t="shared" si="0"/>
        <v>0</v>
      </c>
      <c r="BP12" s="16">
        <f t="shared" si="1"/>
        <v>14000</v>
      </c>
      <c r="BQ12" s="16">
        <f t="shared" si="2"/>
        <v>0</v>
      </c>
      <c r="BR12" s="15">
        <f t="shared" si="3"/>
        <v>11</v>
      </c>
      <c r="BS12" s="18">
        <f t="shared" si="4"/>
        <v>14000</v>
      </c>
      <c r="BT12" s="16">
        <f t="shared" si="5"/>
        <v>154000</v>
      </c>
      <c r="BU12" s="15">
        <f t="shared" si="6"/>
        <v>0</v>
      </c>
      <c r="BV12" s="18">
        <f t="shared" si="7"/>
        <v>14000</v>
      </c>
      <c r="BW12" s="16">
        <f t="shared" si="8"/>
        <v>0</v>
      </c>
      <c r="BX12" s="15"/>
      <c r="BY12" s="19">
        <v>14000</v>
      </c>
      <c r="BZ12" s="20">
        <v>154000</v>
      </c>
    </row>
    <row r="13" spans="1:78">
      <c r="A13" s="3" t="s">
        <v>99</v>
      </c>
      <c r="B13" s="3" t="s">
        <v>100</v>
      </c>
      <c r="C13" s="3" t="s">
        <v>71</v>
      </c>
      <c r="D13" s="3" t="s">
        <v>79</v>
      </c>
      <c r="E13" s="3" t="s">
        <v>73</v>
      </c>
      <c r="F13" s="3" t="s">
        <v>101</v>
      </c>
      <c r="G13" s="3" t="s">
        <v>75</v>
      </c>
      <c r="H13" s="3" t="s">
        <v>75</v>
      </c>
      <c r="I13" s="3" t="s">
        <v>75</v>
      </c>
      <c r="J13" s="3" t="s">
        <v>75</v>
      </c>
      <c r="K13" s="10">
        <v>11</v>
      </c>
      <c r="L13" s="3" t="s">
        <v>75</v>
      </c>
      <c r="M13" s="3" t="s">
        <v>75</v>
      </c>
      <c r="N13" s="3" t="s">
        <v>75</v>
      </c>
      <c r="O13" s="10">
        <v>5</v>
      </c>
      <c r="P13" s="3" t="s">
        <v>75</v>
      </c>
      <c r="Q13" s="3" t="s">
        <v>75</v>
      </c>
      <c r="R13" s="3" t="s">
        <v>75</v>
      </c>
      <c r="S13" s="3" t="s">
        <v>75</v>
      </c>
      <c r="T13" s="3" t="s">
        <v>75</v>
      </c>
      <c r="U13" s="3" t="s">
        <v>75</v>
      </c>
      <c r="V13" s="3" t="s">
        <v>75</v>
      </c>
      <c r="W13" s="3" t="s">
        <v>75</v>
      </c>
      <c r="X13" s="3" t="s">
        <v>75</v>
      </c>
      <c r="Y13" s="3" t="s">
        <v>75</v>
      </c>
      <c r="Z13" s="3" t="s">
        <v>75</v>
      </c>
      <c r="AA13" s="3" t="s">
        <v>75</v>
      </c>
      <c r="AB13" s="3" t="s">
        <v>75</v>
      </c>
      <c r="AC13" s="3" t="s">
        <v>75</v>
      </c>
      <c r="AD13" s="3" t="s">
        <v>75</v>
      </c>
      <c r="AE13" s="3" t="s">
        <v>75</v>
      </c>
      <c r="AF13" s="3" t="s">
        <v>75</v>
      </c>
      <c r="AG13" s="3" t="s">
        <v>75</v>
      </c>
      <c r="AH13" s="3" t="s">
        <v>75</v>
      </c>
      <c r="AI13" s="3" t="s">
        <v>75</v>
      </c>
      <c r="AJ13" s="3" t="s">
        <v>75</v>
      </c>
      <c r="AK13" s="3" t="s">
        <v>75</v>
      </c>
      <c r="AL13" s="3" t="s">
        <v>75</v>
      </c>
      <c r="AM13" s="3" t="s">
        <v>75</v>
      </c>
      <c r="AN13" s="3" t="s">
        <v>75</v>
      </c>
      <c r="AO13" s="3" t="s">
        <v>75</v>
      </c>
      <c r="AP13" s="3" t="s">
        <v>75</v>
      </c>
      <c r="AQ13" s="3" t="s">
        <v>75</v>
      </c>
      <c r="AR13" s="3" t="s">
        <v>75</v>
      </c>
      <c r="AS13" s="3" t="s">
        <v>75</v>
      </c>
      <c r="AT13" s="3" t="s">
        <v>75</v>
      </c>
      <c r="AU13" s="3" t="s">
        <v>75</v>
      </c>
      <c r="AV13" s="3" t="s">
        <v>75</v>
      </c>
      <c r="AW13" s="3" t="s">
        <v>75</v>
      </c>
      <c r="AX13" s="3" t="s">
        <v>75</v>
      </c>
      <c r="AY13" s="3" t="s">
        <v>75</v>
      </c>
      <c r="AZ13" s="3" t="s">
        <v>75</v>
      </c>
      <c r="BA13" s="3" t="s">
        <v>75</v>
      </c>
      <c r="BB13" s="3" t="s">
        <v>75</v>
      </c>
      <c r="BC13" s="3" t="s">
        <v>75</v>
      </c>
      <c r="BD13" s="3" t="s">
        <v>75</v>
      </c>
      <c r="BE13" s="3" t="s">
        <v>75</v>
      </c>
      <c r="BF13" s="3" t="s">
        <v>75</v>
      </c>
      <c r="BG13" s="3" t="s">
        <v>75</v>
      </c>
      <c r="BH13" s="3" t="s">
        <v>75</v>
      </c>
      <c r="BI13" s="3" t="s">
        <v>75</v>
      </c>
      <c r="BJ13" s="3" t="s">
        <v>75</v>
      </c>
      <c r="BK13" s="3" t="s">
        <v>75</v>
      </c>
      <c r="BL13" s="3" t="s">
        <v>75</v>
      </c>
      <c r="BM13" s="3" t="s">
        <v>75</v>
      </c>
      <c r="BN13" s="10">
        <v>16</v>
      </c>
      <c r="BO13" s="16">
        <f t="shared" si="0"/>
        <v>16</v>
      </c>
      <c r="BP13" s="16">
        <f t="shared" si="1"/>
        <v>14000</v>
      </c>
      <c r="BQ13" s="16">
        <f t="shared" si="2"/>
        <v>224000</v>
      </c>
      <c r="BR13" s="15">
        <f t="shared" si="3"/>
        <v>0</v>
      </c>
      <c r="BS13" s="18">
        <f t="shared" si="4"/>
        <v>14000</v>
      </c>
      <c r="BT13" s="16">
        <f t="shared" si="5"/>
        <v>0</v>
      </c>
      <c r="BU13" s="15">
        <f t="shared" si="6"/>
        <v>0</v>
      </c>
      <c r="BV13" s="18">
        <f t="shared" si="7"/>
        <v>14000</v>
      </c>
      <c r="BW13" s="16">
        <f t="shared" si="8"/>
        <v>0</v>
      </c>
      <c r="BX13" s="15"/>
      <c r="BY13" s="19">
        <v>14000</v>
      </c>
      <c r="BZ13" s="20">
        <v>224000</v>
      </c>
    </row>
    <row r="14" spans="1:78">
      <c r="A14" s="3" t="s">
        <v>102</v>
      </c>
      <c r="B14" s="3" t="s">
        <v>103</v>
      </c>
      <c r="C14" s="3" t="s">
        <v>71</v>
      </c>
      <c r="D14" s="3" t="s">
        <v>79</v>
      </c>
      <c r="E14" s="3" t="s">
        <v>73</v>
      </c>
      <c r="F14" s="3" t="s">
        <v>104</v>
      </c>
      <c r="G14" s="3" t="s">
        <v>75</v>
      </c>
      <c r="H14" s="3" t="s">
        <v>75</v>
      </c>
      <c r="I14" s="3" t="s">
        <v>75</v>
      </c>
      <c r="J14" s="3" t="s">
        <v>75</v>
      </c>
      <c r="K14" s="3" t="s">
        <v>75</v>
      </c>
      <c r="L14" s="3" t="s">
        <v>75</v>
      </c>
      <c r="M14" s="3" t="s">
        <v>75</v>
      </c>
      <c r="N14" s="3" t="s">
        <v>75</v>
      </c>
      <c r="O14" s="3" t="s">
        <v>75</v>
      </c>
      <c r="P14" s="3" t="s">
        <v>75</v>
      </c>
      <c r="Q14" s="3" t="s">
        <v>75</v>
      </c>
      <c r="R14" s="3" t="s">
        <v>75</v>
      </c>
      <c r="S14" s="3" t="s">
        <v>75</v>
      </c>
      <c r="T14" s="3" t="s">
        <v>75</v>
      </c>
      <c r="U14" s="3" t="s">
        <v>75</v>
      </c>
      <c r="V14" s="3" t="s">
        <v>75</v>
      </c>
      <c r="W14" s="3" t="s">
        <v>75</v>
      </c>
      <c r="X14" s="3" t="s">
        <v>75</v>
      </c>
      <c r="Y14" s="3" t="s">
        <v>75</v>
      </c>
      <c r="Z14" s="3" t="s">
        <v>75</v>
      </c>
      <c r="AA14" s="3" t="s">
        <v>75</v>
      </c>
      <c r="AB14" s="3" t="s">
        <v>75</v>
      </c>
      <c r="AC14" s="3" t="s">
        <v>75</v>
      </c>
      <c r="AD14" s="3" t="s">
        <v>75</v>
      </c>
      <c r="AE14" s="3" t="s">
        <v>75</v>
      </c>
      <c r="AF14" s="3" t="s">
        <v>75</v>
      </c>
      <c r="AG14" s="3" t="s">
        <v>75</v>
      </c>
      <c r="AH14" s="3" t="s">
        <v>75</v>
      </c>
      <c r="AI14" s="3" t="s">
        <v>75</v>
      </c>
      <c r="AJ14" s="3" t="s">
        <v>75</v>
      </c>
      <c r="AK14" s="3" t="s">
        <v>75</v>
      </c>
      <c r="AL14" s="3" t="s">
        <v>75</v>
      </c>
      <c r="AM14" s="3" t="s">
        <v>75</v>
      </c>
      <c r="AN14" s="3" t="s">
        <v>75</v>
      </c>
      <c r="AO14" s="3" t="s">
        <v>75</v>
      </c>
      <c r="AP14" s="3" t="s">
        <v>75</v>
      </c>
      <c r="AQ14" s="3" t="s">
        <v>75</v>
      </c>
      <c r="AR14" s="3" t="s">
        <v>75</v>
      </c>
      <c r="AS14" s="3" t="s">
        <v>75</v>
      </c>
      <c r="AT14" s="3" t="s">
        <v>75</v>
      </c>
      <c r="AU14" s="3" t="s">
        <v>75</v>
      </c>
      <c r="AV14" s="3" t="s">
        <v>75</v>
      </c>
      <c r="AW14" s="3" t="s">
        <v>75</v>
      </c>
      <c r="AX14" s="3" t="s">
        <v>75</v>
      </c>
      <c r="AY14" s="3" t="s">
        <v>75</v>
      </c>
      <c r="AZ14" s="3" t="s">
        <v>75</v>
      </c>
      <c r="BA14" s="3" t="s">
        <v>75</v>
      </c>
      <c r="BB14" s="3" t="s">
        <v>75</v>
      </c>
      <c r="BC14" s="3" t="s">
        <v>75</v>
      </c>
      <c r="BD14" s="3" t="s">
        <v>75</v>
      </c>
      <c r="BE14" s="3" t="s">
        <v>75</v>
      </c>
      <c r="BF14" s="3" t="s">
        <v>75</v>
      </c>
      <c r="BG14" s="3" t="s">
        <v>75</v>
      </c>
      <c r="BH14" s="3" t="s">
        <v>75</v>
      </c>
      <c r="BI14" s="3" t="s">
        <v>75</v>
      </c>
      <c r="BJ14" s="3" t="s">
        <v>75</v>
      </c>
      <c r="BK14" s="3" t="s">
        <v>75</v>
      </c>
      <c r="BL14" s="10">
        <v>20</v>
      </c>
      <c r="BM14" s="3" t="s">
        <v>75</v>
      </c>
      <c r="BN14" s="10">
        <v>20</v>
      </c>
      <c r="BO14" s="16">
        <f t="shared" si="0"/>
        <v>0</v>
      </c>
      <c r="BP14" s="16">
        <f t="shared" si="1"/>
        <v>15877</v>
      </c>
      <c r="BQ14" s="16">
        <f t="shared" si="2"/>
        <v>0</v>
      </c>
      <c r="BR14" s="15">
        <f t="shared" si="3"/>
        <v>0</v>
      </c>
      <c r="BS14" s="18">
        <f t="shared" si="4"/>
        <v>15877</v>
      </c>
      <c r="BT14" s="16">
        <f t="shared" si="5"/>
        <v>0</v>
      </c>
      <c r="BU14" s="15">
        <f t="shared" si="6"/>
        <v>20</v>
      </c>
      <c r="BV14" s="18">
        <f t="shared" si="7"/>
        <v>15877</v>
      </c>
      <c r="BW14" s="16">
        <f t="shared" si="8"/>
        <v>317540</v>
      </c>
      <c r="BX14" s="15"/>
      <c r="BY14" s="19">
        <v>15877</v>
      </c>
      <c r="BZ14" s="20">
        <v>317540</v>
      </c>
    </row>
    <row r="15" spans="1:78">
      <c r="A15" s="3" t="s">
        <v>105</v>
      </c>
      <c r="B15" s="3" t="s">
        <v>106</v>
      </c>
      <c r="C15" s="3" t="s">
        <v>71</v>
      </c>
      <c r="D15" s="3" t="s">
        <v>79</v>
      </c>
      <c r="E15" s="3" t="s">
        <v>75</v>
      </c>
      <c r="F15" s="3" t="s">
        <v>107</v>
      </c>
      <c r="G15" s="3" t="s">
        <v>75</v>
      </c>
      <c r="H15" s="3" t="s">
        <v>75</v>
      </c>
      <c r="I15" s="3" t="s">
        <v>75</v>
      </c>
      <c r="J15" s="3" t="s">
        <v>75</v>
      </c>
      <c r="K15" s="3" t="s">
        <v>75</v>
      </c>
      <c r="L15" s="3" t="s">
        <v>75</v>
      </c>
      <c r="M15" s="3" t="s">
        <v>75</v>
      </c>
      <c r="N15" s="3" t="s">
        <v>75</v>
      </c>
      <c r="O15" s="10">
        <v>43</v>
      </c>
      <c r="P15" s="3" t="s">
        <v>75</v>
      </c>
      <c r="Q15" s="3" t="s">
        <v>75</v>
      </c>
      <c r="R15" s="3" t="s">
        <v>75</v>
      </c>
      <c r="S15" s="3" t="s">
        <v>75</v>
      </c>
      <c r="T15" s="3" t="s">
        <v>75</v>
      </c>
      <c r="U15" s="3" t="s">
        <v>75</v>
      </c>
      <c r="V15" s="3" t="s">
        <v>75</v>
      </c>
      <c r="W15" s="3" t="s">
        <v>75</v>
      </c>
      <c r="X15" s="3" t="s">
        <v>75</v>
      </c>
      <c r="Y15" s="3" t="s">
        <v>75</v>
      </c>
      <c r="Z15" s="3" t="s">
        <v>75</v>
      </c>
      <c r="AA15" s="3" t="s">
        <v>75</v>
      </c>
      <c r="AB15" s="3" t="s">
        <v>75</v>
      </c>
      <c r="AC15" s="3" t="s">
        <v>75</v>
      </c>
      <c r="AD15" s="3" t="s">
        <v>75</v>
      </c>
      <c r="AE15" s="3" t="s">
        <v>75</v>
      </c>
      <c r="AF15" s="3" t="s">
        <v>75</v>
      </c>
      <c r="AG15" s="3" t="s">
        <v>75</v>
      </c>
      <c r="AH15" s="3" t="s">
        <v>75</v>
      </c>
      <c r="AI15" s="3" t="s">
        <v>75</v>
      </c>
      <c r="AJ15" s="3" t="s">
        <v>75</v>
      </c>
      <c r="AK15" s="3" t="s">
        <v>75</v>
      </c>
      <c r="AL15" s="3" t="s">
        <v>75</v>
      </c>
      <c r="AM15" s="3" t="s">
        <v>75</v>
      </c>
      <c r="AN15" s="3" t="s">
        <v>75</v>
      </c>
      <c r="AO15" s="3" t="s">
        <v>75</v>
      </c>
      <c r="AP15" s="3" t="s">
        <v>75</v>
      </c>
      <c r="AQ15" s="3" t="s">
        <v>75</v>
      </c>
      <c r="AR15" s="3" t="s">
        <v>75</v>
      </c>
      <c r="AS15" s="3" t="s">
        <v>75</v>
      </c>
      <c r="AT15" s="3" t="s">
        <v>75</v>
      </c>
      <c r="AU15" s="3" t="s">
        <v>75</v>
      </c>
      <c r="AV15" s="3" t="s">
        <v>75</v>
      </c>
      <c r="AW15" s="3" t="s">
        <v>75</v>
      </c>
      <c r="AX15" s="3" t="s">
        <v>75</v>
      </c>
      <c r="AY15" s="3" t="s">
        <v>75</v>
      </c>
      <c r="AZ15" s="10">
        <v>18</v>
      </c>
      <c r="BA15" s="3" t="s">
        <v>75</v>
      </c>
      <c r="BB15" s="3" t="s">
        <v>75</v>
      </c>
      <c r="BC15" s="3" t="s">
        <v>75</v>
      </c>
      <c r="BD15" s="3" t="s">
        <v>75</v>
      </c>
      <c r="BE15" s="3" t="s">
        <v>75</v>
      </c>
      <c r="BF15" s="3" t="s">
        <v>75</v>
      </c>
      <c r="BG15" s="3" t="s">
        <v>75</v>
      </c>
      <c r="BH15" s="3" t="s">
        <v>75</v>
      </c>
      <c r="BI15" s="3" t="s">
        <v>75</v>
      </c>
      <c r="BJ15" s="3" t="s">
        <v>75</v>
      </c>
      <c r="BK15" s="3" t="s">
        <v>75</v>
      </c>
      <c r="BL15" s="3" t="s">
        <v>75</v>
      </c>
      <c r="BM15" s="3" t="s">
        <v>75</v>
      </c>
      <c r="BN15" s="10">
        <v>61</v>
      </c>
      <c r="BO15" s="16">
        <f t="shared" si="0"/>
        <v>43</v>
      </c>
      <c r="BP15" s="16">
        <f t="shared" si="1"/>
        <v>7600</v>
      </c>
      <c r="BQ15" s="16">
        <f t="shared" si="2"/>
        <v>326800</v>
      </c>
      <c r="BR15" s="15">
        <f t="shared" si="3"/>
        <v>18</v>
      </c>
      <c r="BS15" s="18">
        <f t="shared" si="4"/>
        <v>7600</v>
      </c>
      <c r="BT15" s="16">
        <f t="shared" si="5"/>
        <v>136800</v>
      </c>
      <c r="BU15" s="15">
        <f t="shared" si="6"/>
        <v>0</v>
      </c>
      <c r="BV15" s="18">
        <f t="shared" si="7"/>
        <v>7600</v>
      </c>
      <c r="BW15" s="16">
        <f t="shared" si="8"/>
        <v>0</v>
      </c>
      <c r="BX15" s="15"/>
      <c r="BY15" s="19">
        <v>7600</v>
      </c>
      <c r="BZ15" s="20">
        <v>463600</v>
      </c>
    </row>
    <row r="16" spans="1:78">
      <c r="A16" s="3" t="s">
        <v>98</v>
      </c>
      <c r="B16" s="3" t="s">
        <v>108</v>
      </c>
      <c r="C16" s="3" t="s">
        <v>71</v>
      </c>
      <c r="D16" s="3" t="s">
        <v>79</v>
      </c>
      <c r="E16" s="3" t="s">
        <v>73</v>
      </c>
      <c r="F16" s="3" t="s">
        <v>109</v>
      </c>
      <c r="G16" s="3" t="s">
        <v>75</v>
      </c>
      <c r="H16" s="3" t="s">
        <v>75</v>
      </c>
      <c r="I16" s="3" t="s">
        <v>75</v>
      </c>
      <c r="J16" s="3" t="s">
        <v>75</v>
      </c>
      <c r="K16" s="3" t="s">
        <v>75</v>
      </c>
      <c r="L16" s="3" t="s">
        <v>75</v>
      </c>
      <c r="M16" s="3" t="s">
        <v>75</v>
      </c>
      <c r="N16" s="3" t="s">
        <v>75</v>
      </c>
      <c r="O16" s="10">
        <v>48</v>
      </c>
      <c r="P16" s="3" t="s">
        <v>75</v>
      </c>
      <c r="Q16" s="3" t="s">
        <v>75</v>
      </c>
      <c r="R16" s="3" t="s">
        <v>75</v>
      </c>
      <c r="S16" s="3" t="s">
        <v>75</v>
      </c>
      <c r="T16" s="3" t="s">
        <v>75</v>
      </c>
      <c r="U16" s="3" t="s">
        <v>75</v>
      </c>
      <c r="V16" s="3" t="s">
        <v>75</v>
      </c>
      <c r="W16" s="3" t="s">
        <v>75</v>
      </c>
      <c r="X16" s="3" t="s">
        <v>75</v>
      </c>
      <c r="Y16" s="3" t="s">
        <v>75</v>
      </c>
      <c r="Z16" s="3" t="s">
        <v>75</v>
      </c>
      <c r="AA16" s="3" t="s">
        <v>75</v>
      </c>
      <c r="AB16" s="3" t="s">
        <v>75</v>
      </c>
      <c r="AC16" s="3" t="s">
        <v>75</v>
      </c>
      <c r="AD16" s="3" t="s">
        <v>75</v>
      </c>
      <c r="AE16" s="3" t="s">
        <v>75</v>
      </c>
      <c r="AF16" s="3" t="s">
        <v>75</v>
      </c>
      <c r="AG16" s="3" t="s">
        <v>75</v>
      </c>
      <c r="AH16" s="3" t="s">
        <v>75</v>
      </c>
      <c r="AI16" s="3" t="s">
        <v>75</v>
      </c>
      <c r="AJ16" s="3" t="s">
        <v>75</v>
      </c>
      <c r="AK16" s="3" t="s">
        <v>75</v>
      </c>
      <c r="AL16" s="3" t="s">
        <v>75</v>
      </c>
      <c r="AM16" s="3" t="s">
        <v>75</v>
      </c>
      <c r="AN16" s="3" t="s">
        <v>75</v>
      </c>
      <c r="AO16" s="3" t="s">
        <v>75</v>
      </c>
      <c r="AP16" s="3" t="s">
        <v>75</v>
      </c>
      <c r="AQ16" s="3" t="s">
        <v>75</v>
      </c>
      <c r="AR16" s="3" t="s">
        <v>75</v>
      </c>
      <c r="AS16" s="3" t="s">
        <v>75</v>
      </c>
      <c r="AT16" s="3" t="s">
        <v>75</v>
      </c>
      <c r="AU16" s="3" t="s">
        <v>75</v>
      </c>
      <c r="AV16" s="3" t="s">
        <v>75</v>
      </c>
      <c r="AW16" s="3" t="s">
        <v>75</v>
      </c>
      <c r="AX16" s="3" t="s">
        <v>75</v>
      </c>
      <c r="AY16" s="3" t="s">
        <v>75</v>
      </c>
      <c r="AZ16" s="10">
        <v>48</v>
      </c>
      <c r="BA16" s="3" t="s">
        <v>75</v>
      </c>
      <c r="BB16" s="3" t="s">
        <v>75</v>
      </c>
      <c r="BC16" s="3" t="s">
        <v>75</v>
      </c>
      <c r="BD16" s="3" t="s">
        <v>75</v>
      </c>
      <c r="BE16" s="3" t="s">
        <v>75</v>
      </c>
      <c r="BF16" s="3" t="s">
        <v>75</v>
      </c>
      <c r="BG16" s="3" t="s">
        <v>75</v>
      </c>
      <c r="BH16" s="3" t="s">
        <v>75</v>
      </c>
      <c r="BI16" s="3" t="s">
        <v>75</v>
      </c>
      <c r="BJ16" s="3" t="s">
        <v>75</v>
      </c>
      <c r="BK16" s="3" t="s">
        <v>75</v>
      </c>
      <c r="BL16" s="3" t="s">
        <v>75</v>
      </c>
      <c r="BM16" s="3" t="s">
        <v>75</v>
      </c>
      <c r="BN16" s="10">
        <v>96</v>
      </c>
      <c r="BO16" s="16">
        <f t="shared" si="0"/>
        <v>48</v>
      </c>
      <c r="BP16" s="16">
        <f t="shared" si="1"/>
        <v>3600</v>
      </c>
      <c r="BQ16" s="16">
        <f t="shared" si="2"/>
        <v>172800</v>
      </c>
      <c r="BR16" s="15">
        <f t="shared" si="3"/>
        <v>48</v>
      </c>
      <c r="BS16" s="18">
        <f t="shared" si="4"/>
        <v>3600</v>
      </c>
      <c r="BT16" s="16">
        <f t="shared" si="5"/>
        <v>172800</v>
      </c>
      <c r="BU16" s="15">
        <f t="shared" si="6"/>
        <v>0</v>
      </c>
      <c r="BV16" s="18">
        <f t="shared" si="7"/>
        <v>3600</v>
      </c>
      <c r="BW16" s="16">
        <f t="shared" si="8"/>
        <v>0</v>
      </c>
      <c r="BX16" s="15"/>
      <c r="BY16" s="19">
        <v>3600</v>
      </c>
      <c r="BZ16" s="20">
        <v>345600</v>
      </c>
    </row>
    <row r="17" spans="1:78">
      <c r="A17" s="3" t="s">
        <v>91</v>
      </c>
      <c r="B17" s="3" t="s">
        <v>110</v>
      </c>
      <c r="C17" s="3" t="s">
        <v>71</v>
      </c>
      <c r="D17" s="3" t="s">
        <v>79</v>
      </c>
      <c r="E17" s="3" t="s">
        <v>73</v>
      </c>
      <c r="F17" s="3" t="s">
        <v>111</v>
      </c>
      <c r="G17" s="3" t="s">
        <v>75</v>
      </c>
      <c r="H17" s="3" t="s">
        <v>75</v>
      </c>
      <c r="I17" s="3" t="s">
        <v>75</v>
      </c>
      <c r="J17" s="3" t="s">
        <v>75</v>
      </c>
      <c r="K17" s="3" t="s">
        <v>75</v>
      </c>
      <c r="L17" s="3" t="s">
        <v>75</v>
      </c>
      <c r="M17" s="3" t="s">
        <v>75</v>
      </c>
      <c r="N17" s="3" t="s">
        <v>75</v>
      </c>
      <c r="O17" s="10">
        <v>10</v>
      </c>
      <c r="P17" s="3" t="s">
        <v>75</v>
      </c>
      <c r="Q17" s="3" t="s">
        <v>75</v>
      </c>
      <c r="R17" s="3" t="s">
        <v>75</v>
      </c>
      <c r="S17" s="3" t="s">
        <v>75</v>
      </c>
      <c r="T17" s="3" t="s">
        <v>75</v>
      </c>
      <c r="U17" s="3" t="s">
        <v>75</v>
      </c>
      <c r="V17" s="3" t="s">
        <v>75</v>
      </c>
      <c r="W17" s="3" t="s">
        <v>75</v>
      </c>
      <c r="X17" s="3" t="s">
        <v>75</v>
      </c>
      <c r="Y17" s="3" t="s">
        <v>75</v>
      </c>
      <c r="Z17" s="3" t="s">
        <v>75</v>
      </c>
      <c r="AA17" s="3" t="s">
        <v>75</v>
      </c>
      <c r="AB17" s="3" t="s">
        <v>75</v>
      </c>
      <c r="AC17" s="3" t="s">
        <v>75</v>
      </c>
      <c r="AD17" s="3" t="s">
        <v>75</v>
      </c>
      <c r="AE17" s="3" t="s">
        <v>75</v>
      </c>
      <c r="AF17" s="3" t="s">
        <v>75</v>
      </c>
      <c r="AG17" s="3" t="s">
        <v>75</v>
      </c>
      <c r="AH17" s="3" t="s">
        <v>75</v>
      </c>
      <c r="AI17" s="3" t="s">
        <v>75</v>
      </c>
      <c r="AJ17" s="3" t="s">
        <v>75</v>
      </c>
      <c r="AK17" s="3" t="s">
        <v>75</v>
      </c>
      <c r="AL17" s="3" t="s">
        <v>75</v>
      </c>
      <c r="AM17" s="3" t="s">
        <v>75</v>
      </c>
      <c r="AN17" s="3" t="s">
        <v>75</v>
      </c>
      <c r="AO17" s="3" t="s">
        <v>75</v>
      </c>
      <c r="AP17" s="3" t="s">
        <v>75</v>
      </c>
      <c r="AQ17" s="3" t="s">
        <v>75</v>
      </c>
      <c r="AR17" s="3" t="s">
        <v>75</v>
      </c>
      <c r="AS17" s="3" t="s">
        <v>75</v>
      </c>
      <c r="AT17" s="3" t="s">
        <v>75</v>
      </c>
      <c r="AU17" s="3" t="s">
        <v>75</v>
      </c>
      <c r="AV17" s="3" t="s">
        <v>75</v>
      </c>
      <c r="AW17" s="3" t="s">
        <v>75</v>
      </c>
      <c r="AX17" s="3" t="s">
        <v>75</v>
      </c>
      <c r="AY17" s="3" t="s">
        <v>75</v>
      </c>
      <c r="AZ17" s="10">
        <v>10</v>
      </c>
      <c r="BA17" s="3" t="s">
        <v>75</v>
      </c>
      <c r="BB17" s="3" t="s">
        <v>75</v>
      </c>
      <c r="BC17" s="3" t="s">
        <v>75</v>
      </c>
      <c r="BD17" s="3" t="s">
        <v>75</v>
      </c>
      <c r="BE17" s="3" t="s">
        <v>75</v>
      </c>
      <c r="BF17" s="3" t="s">
        <v>75</v>
      </c>
      <c r="BG17" s="3" t="s">
        <v>75</v>
      </c>
      <c r="BH17" s="3" t="s">
        <v>75</v>
      </c>
      <c r="BI17" s="3" t="s">
        <v>75</v>
      </c>
      <c r="BJ17" s="3" t="s">
        <v>75</v>
      </c>
      <c r="BK17" s="3" t="s">
        <v>75</v>
      </c>
      <c r="BL17" s="3" t="s">
        <v>75</v>
      </c>
      <c r="BM17" s="3" t="s">
        <v>75</v>
      </c>
      <c r="BN17" s="10">
        <v>20</v>
      </c>
      <c r="BO17" s="16">
        <f t="shared" si="0"/>
        <v>10</v>
      </c>
      <c r="BP17" s="16">
        <f t="shared" si="1"/>
        <v>11000</v>
      </c>
      <c r="BQ17" s="16">
        <f t="shared" si="2"/>
        <v>110000</v>
      </c>
      <c r="BR17" s="15">
        <f t="shared" si="3"/>
        <v>10</v>
      </c>
      <c r="BS17" s="18">
        <f t="shared" si="4"/>
        <v>11000</v>
      </c>
      <c r="BT17" s="16">
        <f t="shared" si="5"/>
        <v>110000</v>
      </c>
      <c r="BU17" s="15">
        <f t="shared" si="6"/>
        <v>0</v>
      </c>
      <c r="BV17" s="18">
        <f t="shared" si="7"/>
        <v>11000</v>
      </c>
      <c r="BW17" s="16">
        <f t="shared" si="8"/>
        <v>0</v>
      </c>
      <c r="BX17" s="15"/>
      <c r="BY17" s="19">
        <v>11000</v>
      </c>
      <c r="BZ17" s="20">
        <v>220000</v>
      </c>
    </row>
    <row r="18" spans="1:78">
      <c r="A18" s="3" t="s">
        <v>112</v>
      </c>
      <c r="B18" s="3" t="s">
        <v>113</v>
      </c>
      <c r="C18" s="3" t="s">
        <v>71</v>
      </c>
      <c r="D18" s="3" t="s">
        <v>79</v>
      </c>
      <c r="E18" s="3" t="s">
        <v>73</v>
      </c>
      <c r="F18" s="3" t="s">
        <v>114</v>
      </c>
      <c r="G18" s="10">
        <v>10</v>
      </c>
      <c r="H18" s="3" t="s">
        <v>75</v>
      </c>
      <c r="I18" s="3" t="s">
        <v>75</v>
      </c>
      <c r="J18" s="3" t="s">
        <v>75</v>
      </c>
      <c r="K18" s="3" t="s">
        <v>75</v>
      </c>
      <c r="L18" s="3" t="s">
        <v>75</v>
      </c>
      <c r="M18" s="3" t="s">
        <v>75</v>
      </c>
      <c r="N18" s="3" t="s">
        <v>75</v>
      </c>
      <c r="O18" s="3" t="s">
        <v>75</v>
      </c>
      <c r="P18" s="3" t="s">
        <v>75</v>
      </c>
      <c r="Q18" s="3" t="s">
        <v>75</v>
      </c>
      <c r="R18" s="3" t="s">
        <v>75</v>
      </c>
      <c r="S18" s="3" t="s">
        <v>75</v>
      </c>
      <c r="T18" s="3" t="s">
        <v>75</v>
      </c>
      <c r="U18" s="10">
        <v>10</v>
      </c>
      <c r="V18" s="10">
        <v>3</v>
      </c>
      <c r="W18" s="3" t="s">
        <v>75</v>
      </c>
      <c r="X18" s="3" t="s">
        <v>75</v>
      </c>
      <c r="Y18" s="3" t="s">
        <v>75</v>
      </c>
      <c r="Z18" s="3" t="s">
        <v>75</v>
      </c>
      <c r="AA18" s="3" t="s">
        <v>75</v>
      </c>
      <c r="AB18" s="3" t="s">
        <v>75</v>
      </c>
      <c r="AC18" s="3" t="s">
        <v>75</v>
      </c>
      <c r="AD18" s="3" t="s">
        <v>75</v>
      </c>
      <c r="AE18" s="3" t="s">
        <v>75</v>
      </c>
      <c r="AF18" s="3" t="s">
        <v>75</v>
      </c>
      <c r="AG18" s="3" t="s">
        <v>75</v>
      </c>
      <c r="AH18" s="3" t="s">
        <v>75</v>
      </c>
      <c r="AI18" s="3" t="s">
        <v>75</v>
      </c>
      <c r="AJ18" s="3" t="s">
        <v>75</v>
      </c>
      <c r="AK18" s="3" t="s">
        <v>75</v>
      </c>
      <c r="AL18" s="3" t="s">
        <v>75</v>
      </c>
      <c r="AM18" s="3" t="s">
        <v>75</v>
      </c>
      <c r="AN18" s="3" t="s">
        <v>75</v>
      </c>
      <c r="AO18" s="3" t="s">
        <v>75</v>
      </c>
      <c r="AP18" s="3" t="s">
        <v>75</v>
      </c>
      <c r="AQ18" s="3" t="s">
        <v>75</v>
      </c>
      <c r="AR18" s="3" t="s">
        <v>75</v>
      </c>
      <c r="AS18" s="3" t="s">
        <v>75</v>
      </c>
      <c r="AT18" s="3" t="s">
        <v>75</v>
      </c>
      <c r="AU18" s="3" t="s">
        <v>75</v>
      </c>
      <c r="AV18" s="3" t="s">
        <v>75</v>
      </c>
      <c r="AW18" s="10">
        <v>10</v>
      </c>
      <c r="AX18" s="3" t="s">
        <v>75</v>
      </c>
      <c r="AY18" s="3" t="s">
        <v>75</v>
      </c>
      <c r="AZ18" s="3" t="s">
        <v>75</v>
      </c>
      <c r="BA18" s="3" t="s">
        <v>75</v>
      </c>
      <c r="BB18" s="3" t="s">
        <v>75</v>
      </c>
      <c r="BC18" s="3" t="s">
        <v>75</v>
      </c>
      <c r="BD18" s="3" t="s">
        <v>75</v>
      </c>
      <c r="BE18" s="3" t="s">
        <v>75</v>
      </c>
      <c r="BF18" s="3" t="s">
        <v>75</v>
      </c>
      <c r="BG18" s="3" t="s">
        <v>75</v>
      </c>
      <c r="BH18" s="3" t="s">
        <v>75</v>
      </c>
      <c r="BI18" s="3" t="s">
        <v>75</v>
      </c>
      <c r="BJ18" s="3" t="s">
        <v>75</v>
      </c>
      <c r="BK18" s="3" t="s">
        <v>75</v>
      </c>
      <c r="BL18" s="10">
        <v>10</v>
      </c>
      <c r="BM18" s="3" t="s">
        <v>75</v>
      </c>
      <c r="BN18" s="10">
        <v>43</v>
      </c>
      <c r="BO18" s="16">
        <f t="shared" si="0"/>
        <v>23</v>
      </c>
      <c r="BP18" s="16">
        <f t="shared" si="1"/>
        <v>41000</v>
      </c>
      <c r="BQ18" s="16">
        <f t="shared" si="2"/>
        <v>943000</v>
      </c>
      <c r="BR18" s="15">
        <f t="shared" si="3"/>
        <v>10</v>
      </c>
      <c r="BS18" s="18">
        <f t="shared" si="4"/>
        <v>41000</v>
      </c>
      <c r="BT18" s="16">
        <f t="shared" si="5"/>
        <v>410000</v>
      </c>
      <c r="BU18" s="15">
        <f t="shared" si="6"/>
        <v>10</v>
      </c>
      <c r="BV18" s="18">
        <f t="shared" si="7"/>
        <v>41000</v>
      </c>
      <c r="BW18" s="16">
        <f t="shared" si="8"/>
        <v>410000</v>
      </c>
      <c r="BX18" s="15"/>
      <c r="BY18" s="19">
        <v>41000</v>
      </c>
      <c r="BZ18" s="20">
        <v>1763000</v>
      </c>
    </row>
    <row r="19" spans="1:78">
      <c r="A19" s="3" t="s">
        <v>81</v>
      </c>
      <c r="B19" s="3" t="s">
        <v>115</v>
      </c>
      <c r="C19" s="3" t="s">
        <v>71</v>
      </c>
      <c r="D19" s="3" t="s">
        <v>79</v>
      </c>
      <c r="E19" s="3" t="s">
        <v>73</v>
      </c>
      <c r="F19" s="3" t="s">
        <v>116</v>
      </c>
      <c r="G19" s="3" t="s">
        <v>75</v>
      </c>
      <c r="H19" s="3" t="s">
        <v>75</v>
      </c>
      <c r="I19" s="3" t="s">
        <v>75</v>
      </c>
      <c r="J19" s="3" t="s">
        <v>75</v>
      </c>
      <c r="K19" s="3" t="s">
        <v>75</v>
      </c>
      <c r="L19" s="3" t="s">
        <v>75</v>
      </c>
      <c r="M19" s="3" t="s">
        <v>75</v>
      </c>
      <c r="N19" s="3" t="s">
        <v>75</v>
      </c>
      <c r="O19" s="3" t="s">
        <v>75</v>
      </c>
      <c r="P19" s="3" t="s">
        <v>75</v>
      </c>
      <c r="Q19" s="3" t="s">
        <v>75</v>
      </c>
      <c r="R19" s="3" t="s">
        <v>75</v>
      </c>
      <c r="S19" s="3" t="s">
        <v>75</v>
      </c>
      <c r="T19" s="3" t="s">
        <v>75</v>
      </c>
      <c r="U19" s="3" t="s">
        <v>75</v>
      </c>
      <c r="V19" s="3" t="s">
        <v>75</v>
      </c>
      <c r="W19" s="3" t="s">
        <v>75</v>
      </c>
      <c r="X19" s="3" t="s">
        <v>75</v>
      </c>
      <c r="Y19" s="3" t="s">
        <v>75</v>
      </c>
      <c r="Z19" s="3" t="s">
        <v>75</v>
      </c>
      <c r="AA19" s="3" t="s">
        <v>75</v>
      </c>
      <c r="AB19" s="3" t="s">
        <v>75</v>
      </c>
      <c r="AC19" s="3" t="s">
        <v>75</v>
      </c>
      <c r="AD19" s="3" t="s">
        <v>75</v>
      </c>
      <c r="AE19" s="3" t="s">
        <v>75</v>
      </c>
      <c r="AF19" s="3" t="s">
        <v>75</v>
      </c>
      <c r="AG19" s="3" t="s">
        <v>75</v>
      </c>
      <c r="AH19" s="3" t="s">
        <v>75</v>
      </c>
      <c r="AI19" s="3" t="s">
        <v>75</v>
      </c>
      <c r="AJ19" s="3" t="s">
        <v>75</v>
      </c>
      <c r="AK19" s="3" t="s">
        <v>75</v>
      </c>
      <c r="AL19" s="3" t="s">
        <v>75</v>
      </c>
      <c r="AM19" s="3" t="s">
        <v>75</v>
      </c>
      <c r="AN19" s="3" t="s">
        <v>75</v>
      </c>
      <c r="AO19" s="3" t="s">
        <v>75</v>
      </c>
      <c r="AP19" s="3" t="s">
        <v>75</v>
      </c>
      <c r="AQ19" s="3" t="s">
        <v>75</v>
      </c>
      <c r="AR19" s="3" t="s">
        <v>75</v>
      </c>
      <c r="AS19" s="3" t="s">
        <v>75</v>
      </c>
      <c r="AT19" s="3" t="s">
        <v>75</v>
      </c>
      <c r="AU19" s="3" t="s">
        <v>75</v>
      </c>
      <c r="AV19" s="3" t="s">
        <v>75</v>
      </c>
      <c r="AW19" s="3" t="s">
        <v>75</v>
      </c>
      <c r="AX19" s="3" t="s">
        <v>75</v>
      </c>
      <c r="AY19" s="10">
        <v>3</v>
      </c>
      <c r="AZ19" s="3" t="s">
        <v>75</v>
      </c>
      <c r="BA19" s="3" t="s">
        <v>75</v>
      </c>
      <c r="BB19" s="3" t="s">
        <v>75</v>
      </c>
      <c r="BC19" s="3" t="s">
        <v>75</v>
      </c>
      <c r="BD19" s="3" t="s">
        <v>75</v>
      </c>
      <c r="BE19" s="3" t="s">
        <v>75</v>
      </c>
      <c r="BF19" s="3" t="s">
        <v>75</v>
      </c>
      <c r="BG19" s="3" t="s">
        <v>75</v>
      </c>
      <c r="BH19" s="3" t="s">
        <v>75</v>
      </c>
      <c r="BI19" s="3" t="s">
        <v>75</v>
      </c>
      <c r="BJ19" s="3" t="s">
        <v>75</v>
      </c>
      <c r="BK19" s="3" t="s">
        <v>75</v>
      </c>
      <c r="BL19" s="3" t="s">
        <v>75</v>
      </c>
      <c r="BM19" s="3" t="s">
        <v>75</v>
      </c>
      <c r="BN19" s="10">
        <v>3</v>
      </c>
      <c r="BO19" s="16">
        <f t="shared" si="0"/>
        <v>0</v>
      </c>
      <c r="BP19" s="16">
        <f t="shared" si="1"/>
        <v>41000</v>
      </c>
      <c r="BQ19" s="16">
        <f t="shared" si="2"/>
        <v>0</v>
      </c>
      <c r="BR19" s="15">
        <f t="shared" si="3"/>
        <v>3</v>
      </c>
      <c r="BS19" s="18">
        <f t="shared" si="4"/>
        <v>41000</v>
      </c>
      <c r="BT19" s="16">
        <f t="shared" si="5"/>
        <v>123000</v>
      </c>
      <c r="BU19" s="15">
        <f t="shared" si="6"/>
        <v>0</v>
      </c>
      <c r="BV19" s="18">
        <f t="shared" si="7"/>
        <v>41000</v>
      </c>
      <c r="BW19" s="16">
        <f t="shared" si="8"/>
        <v>0</v>
      </c>
      <c r="BX19" s="15"/>
      <c r="BY19" s="19">
        <v>41000</v>
      </c>
      <c r="BZ19" s="20">
        <v>123000</v>
      </c>
    </row>
    <row r="20" spans="1:78">
      <c r="A20" s="3" t="s">
        <v>76</v>
      </c>
      <c r="B20" s="3" t="s">
        <v>117</v>
      </c>
      <c r="C20" s="3" t="s">
        <v>71</v>
      </c>
      <c r="D20" s="3" t="s">
        <v>79</v>
      </c>
      <c r="E20" s="3" t="s">
        <v>73</v>
      </c>
      <c r="F20" s="3" t="s">
        <v>118</v>
      </c>
      <c r="G20" s="3" t="s">
        <v>75</v>
      </c>
      <c r="H20" s="10">
        <v>44</v>
      </c>
      <c r="I20" s="3" t="s">
        <v>75</v>
      </c>
      <c r="J20" s="3" t="s">
        <v>75</v>
      </c>
      <c r="K20" s="3" t="s">
        <v>75</v>
      </c>
      <c r="L20" s="3" t="s">
        <v>75</v>
      </c>
      <c r="M20" s="3" t="s">
        <v>75</v>
      </c>
      <c r="N20" s="3" t="s">
        <v>75</v>
      </c>
      <c r="O20" s="3" t="s">
        <v>75</v>
      </c>
      <c r="P20" s="3" t="s">
        <v>75</v>
      </c>
      <c r="Q20" s="3" t="s">
        <v>75</v>
      </c>
      <c r="R20" s="3" t="s">
        <v>75</v>
      </c>
      <c r="S20" s="3" t="s">
        <v>75</v>
      </c>
      <c r="T20" s="3" t="s">
        <v>75</v>
      </c>
      <c r="U20" s="3" t="s">
        <v>75</v>
      </c>
      <c r="V20" s="3" t="s">
        <v>75</v>
      </c>
      <c r="W20" s="3" t="s">
        <v>75</v>
      </c>
      <c r="X20" s="3" t="s">
        <v>75</v>
      </c>
      <c r="Y20" s="3" t="s">
        <v>75</v>
      </c>
      <c r="Z20" s="3" t="s">
        <v>75</v>
      </c>
      <c r="AA20" s="3" t="s">
        <v>75</v>
      </c>
      <c r="AB20" s="3" t="s">
        <v>75</v>
      </c>
      <c r="AC20" s="3" t="s">
        <v>75</v>
      </c>
      <c r="AD20" s="3" t="s">
        <v>75</v>
      </c>
      <c r="AE20" s="3" t="s">
        <v>75</v>
      </c>
      <c r="AF20" s="3" t="s">
        <v>75</v>
      </c>
      <c r="AG20" s="3" t="s">
        <v>75</v>
      </c>
      <c r="AH20" s="3" t="s">
        <v>75</v>
      </c>
      <c r="AI20" s="3" t="s">
        <v>75</v>
      </c>
      <c r="AJ20" s="3" t="s">
        <v>75</v>
      </c>
      <c r="AK20" s="3" t="s">
        <v>75</v>
      </c>
      <c r="AL20" s="3" t="s">
        <v>75</v>
      </c>
      <c r="AM20" s="3" t="s">
        <v>75</v>
      </c>
      <c r="AN20" s="3" t="s">
        <v>75</v>
      </c>
      <c r="AO20" s="3" t="s">
        <v>75</v>
      </c>
      <c r="AP20" s="3" t="s">
        <v>75</v>
      </c>
      <c r="AQ20" s="3" t="s">
        <v>75</v>
      </c>
      <c r="AR20" s="3" t="s">
        <v>75</v>
      </c>
      <c r="AS20" s="3" t="s">
        <v>75</v>
      </c>
      <c r="AT20" s="3" t="s">
        <v>75</v>
      </c>
      <c r="AU20" s="3" t="s">
        <v>75</v>
      </c>
      <c r="AV20" s="3" t="s">
        <v>75</v>
      </c>
      <c r="AW20" s="3" t="s">
        <v>75</v>
      </c>
      <c r="AX20" s="3" t="s">
        <v>75</v>
      </c>
      <c r="AY20" s="3" t="s">
        <v>75</v>
      </c>
      <c r="AZ20" s="3" t="s">
        <v>75</v>
      </c>
      <c r="BA20" s="3" t="s">
        <v>75</v>
      </c>
      <c r="BB20" s="3" t="s">
        <v>75</v>
      </c>
      <c r="BC20" s="3" t="s">
        <v>75</v>
      </c>
      <c r="BD20" s="3" t="s">
        <v>75</v>
      </c>
      <c r="BE20" s="3" t="s">
        <v>75</v>
      </c>
      <c r="BF20" s="3" t="s">
        <v>75</v>
      </c>
      <c r="BG20" s="3" t="s">
        <v>75</v>
      </c>
      <c r="BH20" s="3" t="s">
        <v>75</v>
      </c>
      <c r="BI20" s="3" t="s">
        <v>75</v>
      </c>
      <c r="BJ20" s="3" t="s">
        <v>75</v>
      </c>
      <c r="BK20" s="3" t="s">
        <v>75</v>
      </c>
      <c r="BL20" s="3" t="s">
        <v>75</v>
      </c>
      <c r="BM20" s="3" t="s">
        <v>75</v>
      </c>
      <c r="BN20" s="10">
        <v>44</v>
      </c>
      <c r="BO20" s="16">
        <f t="shared" si="0"/>
        <v>44</v>
      </c>
      <c r="BP20" s="16">
        <f t="shared" si="1"/>
        <v>41000</v>
      </c>
      <c r="BQ20" s="16">
        <f t="shared" si="2"/>
        <v>1804000</v>
      </c>
      <c r="BR20" s="15">
        <f t="shared" si="3"/>
        <v>0</v>
      </c>
      <c r="BS20" s="18">
        <f t="shared" si="4"/>
        <v>41000</v>
      </c>
      <c r="BT20" s="16">
        <f t="shared" si="5"/>
        <v>0</v>
      </c>
      <c r="BU20" s="15">
        <f t="shared" si="6"/>
        <v>0</v>
      </c>
      <c r="BV20" s="18">
        <f t="shared" si="7"/>
        <v>41000</v>
      </c>
      <c r="BW20" s="16">
        <f t="shared" si="8"/>
        <v>0</v>
      </c>
      <c r="BX20" s="15"/>
      <c r="BY20" s="19">
        <v>41000</v>
      </c>
      <c r="BZ20" s="20">
        <v>1804000</v>
      </c>
    </row>
    <row r="21" spans="1:78">
      <c r="A21" s="3" t="s">
        <v>75</v>
      </c>
      <c r="B21" s="3" t="s">
        <v>75</v>
      </c>
      <c r="C21" s="3" t="s">
        <v>75</v>
      </c>
      <c r="D21" s="3" t="s">
        <v>75</v>
      </c>
      <c r="E21" s="3" t="s">
        <v>75</v>
      </c>
      <c r="F21" s="3" t="s">
        <v>119</v>
      </c>
      <c r="G21" s="10">
        <v>75</v>
      </c>
      <c r="H21" s="10">
        <v>44</v>
      </c>
      <c r="I21" s="10">
        <v>0</v>
      </c>
      <c r="J21" s="10">
        <v>0</v>
      </c>
      <c r="K21" s="10">
        <v>11</v>
      </c>
      <c r="L21" s="10">
        <v>0</v>
      </c>
      <c r="M21" s="10">
        <v>0</v>
      </c>
      <c r="N21" s="10">
        <v>0</v>
      </c>
      <c r="O21" s="10">
        <v>121</v>
      </c>
      <c r="P21" s="10">
        <v>58</v>
      </c>
      <c r="Q21" s="10">
        <v>0</v>
      </c>
      <c r="R21" s="10">
        <v>0</v>
      </c>
      <c r="S21" s="10">
        <v>0</v>
      </c>
      <c r="T21" s="10">
        <v>0</v>
      </c>
      <c r="U21" s="10">
        <v>10</v>
      </c>
      <c r="V21" s="10">
        <v>68</v>
      </c>
      <c r="W21" s="10">
        <v>70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70</v>
      </c>
      <c r="AX21" s="10">
        <v>11</v>
      </c>
      <c r="AY21" s="10">
        <v>3</v>
      </c>
      <c r="AZ21" s="10">
        <v>76</v>
      </c>
      <c r="BA21" s="10">
        <v>55</v>
      </c>
      <c r="BB21" s="10">
        <v>0</v>
      </c>
      <c r="BC21" s="10">
        <v>0</v>
      </c>
      <c r="BD21" s="10">
        <v>24</v>
      </c>
      <c r="BE21" s="10">
        <v>0</v>
      </c>
      <c r="BF21" s="10">
        <v>0</v>
      </c>
      <c r="BG21" s="10">
        <v>14</v>
      </c>
      <c r="BH21" s="10">
        <v>65</v>
      </c>
      <c r="BI21" s="10">
        <v>0</v>
      </c>
      <c r="BJ21" s="10">
        <v>0</v>
      </c>
      <c r="BK21" s="10">
        <v>55</v>
      </c>
      <c r="BL21" s="10">
        <v>30</v>
      </c>
      <c r="BM21" s="10">
        <v>70</v>
      </c>
      <c r="BN21" s="10">
        <v>930</v>
      </c>
      <c r="BO21" s="15"/>
      <c r="BP21" s="15"/>
      <c r="BQ21" s="21">
        <f>SUM(BQ6:BQ20)</f>
        <v>8358600</v>
      </c>
      <c r="BR21" s="15"/>
      <c r="BS21" s="15"/>
      <c r="BT21" s="22">
        <f>SUM(BT6:BT20)</f>
        <v>3101600</v>
      </c>
      <c r="BU21" s="15"/>
      <c r="BV21" s="15"/>
      <c r="BW21" s="22">
        <f>SUM(BW6:BW20)</f>
        <v>5018540</v>
      </c>
      <c r="BX21" s="15"/>
      <c r="BY21" s="17">
        <f>BQ21+BT21+BW21</f>
        <v>16478740</v>
      </c>
      <c r="BZ21" s="18">
        <f>SUM(BZ6:BZ20)</f>
        <v>16478740</v>
      </c>
    </row>
  </sheetData>
  <mergeCells count="4">
    <mergeCell ref="A2:BN2"/>
    <mergeCell ref="BO5:BQ5"/>
    <mergeCell ref="BR5:BT5"/>
    <mergeCell ref="BU5:BW5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newadmin</cp:lastModifiedBy>
  <dcterms:created xsi:type="dcterms:W3CDTF">2025-12-01T02:29:17Z</dcterms:created>
  <dcterms:modified xsi:type="dcterms:W3CDTF">2025-12-31T01:54:24Z</dcterms:modified>
</cp:coreProperties>
</file>