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Z:\이가에프앤비\00 a 급식계약\2511월_해빛초_명륜초_지산고_현곡초\"/>
    </mc:Choice>
  </mc:AlternateContent>
  <xr:revisionPtr revIDLastSave="0" documentId="13_ncr:1_{7CB81A97-0322-4D5F-A154-11C790712E9E}" xr6:coauthVersionLast="47" xr6:coauthVersionMax="47" xr10:uidLastSave="{00000000-0000-0000-0000-000000000000}"/>
  <bookViews>
    <workbookView xWindow="-25650" yWindow="-21600" windowWidth="24240" windowHeight="21000" xr2:uid="{00000000-000D-0000-FFFF-FFFF00000000}"/>
  </bookViews>
  <sheets>
    <sheet name="원장" sheetId="2" r:id="rId1"/>
  </sheets>
  <definedNames>
    <definedName name="_xlnm._FilterDatabase" localSheetId="0" hidden="1">원장!$B$3:$O$93</definedName>
    <definedName name="_xlnm.Print_Titles" localSheetId="0">원장!$1:$3</definedName>
  </definedNames>
  <calcPr calcId="191029"/>
</workbook>
</file>

<file path=xl/calcChain.xml><?xml version="1.0" encoding="utf-8"?>
<calcChain xmlns="http://schemas.openxmlformats.org/spreadsheetml/2006/main">
  <c r="O117" i="2" l="1"/>
  <c r="M113" i="2"/>
  <c r="H122" i="2"/>
  <c r="J114" i="2"/>
  <c r="J90" i="2" l="1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K97" i="2"/>
  <c r="J91" i="2" l="1"/>
  <c r="K98" i="2" s="1"/>
  <c r="K4" i="2"/>
  <c r="K5" i="2" s="1"/>
  <c r="K6" i="2" s="1"/>
  <c r="K7" i="2" s="1"/>
  <c r="K8" i="2" s="1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K36" i="2" s="1"/>
  <c r="K37" i="2" s="1"/>
  <c r="K38" i="2" s="1"/>
  <c r="K39" i="2" s="1"/>
  <c r="K40" i="2" s="1"/>
  <c r="K41" i="2" s="1"/>
  <c r="K42" i="2" s="1"/>
  <c r="K43" i="2" s="1"/>
  <c r="K44" i="2" s="1"/>
  <c r="K45" i="2" s="1"/>
  <c r="K46" i="2" s="1"/>
  <c r="K47" i="2" s="1"/>
  <c r="K48" i="2" s="1"/>
  <c r="K49" i="2" s="1"/>
  <c r="K50" i="2" s="1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K73" i="2" s="1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2" i="2" l="1"/>
  <c r="K102" i="2"/>
  <c r="K99" i="2"/>
</calcChain>
</file>

<file path=xl/sharedStrings.xml><?xml version="1.0" encoding="utf-8"?>
<sst xmlns="http://schemas.openxmlformats.org/spreadsheetml/2006/main" count="607" uniqueCount="161">
  <si>
    <t>단위</t>
  </si>
  <si>
    <t>총수량</t>
  </si>
  <si>
    <t>단가</t>
  </si>
  <si>
    <t>공급가액</t>
  </si>
  <si>
    <t>전월미수</t>
    <phoneticPr fontId="1" type="noConversion"/>
  </si>
  <si>
    <t>당월매출</t>
    <phoneticPr fontId="1" type="noConversion"/>
  </si>
  <si>
    <t>합     계</t>
    <phoneticPr fontId="1" type="noConversion"/>
  </si>
  <si>
    <t>과    세</t>
    <phoneticPr fontId="1" type="noConversion"/>
  </si>
  <si>
    <t>면    세</t>
    <phoneticPr fontId="1" type="noConversion"/>
  </si>
  <si>
    <t>합    계</t>
    <phoneticPr fontId="1" type="noConversion"/>
  </si>
  <si>
    <t>전월 미수 금액</t>
    <phoneticPr fontId="1" type="noConversion"/>
  </si>
  <si>
    <t>급식일자</t>
  </si>
  <si>
    <t>급식처</t>
  </si>
  <si>
    <t>품목명/비고</t>
  </si>
  <si>
    <t>품목명</t>
  </si>
  <si>
    <t>용도</t>
  </si>
  <si>
    <t>매출금액</t>
  </si>
  <si>
    <t>비고</t>
  </si>
  <si>
    <t>이력번호</t>
  </si>
  <si>
    <t>도축장</t>
  </si>
  <si>
    <r>
      <t xml:space="preserve">입금계좌 : 부산은행 </t>
    </r>
    <r>
      <rPr>
        <b/>
        <sz val="12"/>
        <color rgb="FFFF0000"/>
        <rFont val="맑은 고딕"/>
        <family val="3"/>
        <charset val="129"/>
        <scheme val="minor"/>
      </rPr>
      <t>113-2010-2174-01</t>
    </r>
    <r>
      <rPr>
        <b/>
        <sz val="12"/>
        <color rgb="FF000000"/>
        <rFont val="맑은 고딕"/>
        <family val="3"/>
        <charset val="129"/>
        <scheme val="minor"/>
      </rPr>
      <t xml:space="preserve"> ㈜태성푸드</t>
    </r>
    <phoneticPr fontId="1" type="noConversion"/>
  </si>
  <si>
    <r>
      <t>** 입금계좌 부산</t>
    </r>
    <r>
      <rPr>
        <b/>
        <u/>
        <sz val="20"/>
        <color rgb="FFFF0000"/>
        <rFont val="맑은 고딕"/>
        <family val="3"/>
        <charset val="129"/>
        <scheme val="minor"/>
      </rPr>
      <t>[113-2010-2174-01]</t>
    </r>
    <r>
      <rPr>
        <b/>
        <sz val="15"/>
        <color theme="1"/>
        <rFont val="맑은 고딕"/>
        <family val="3"/>
        <charset val="129"/>
        <scheme val="minor"/>
      </rPr>
      <t>으로 입금 부탁드립니다.</t>
    </r>
    <phoneticPr fontId="1" type="noConversion"/>
  </si>
  <si>
    <t>비고</t>
    <phoneticPr fontId="1" type="noConversion"/>
  </si>
  <si>
    <t>11월 이가에프엔비 거래원장</t>
    <phoneticPr fontId="1" type="noConversion"/>
  </si>
  <si>
    <t>(주)태성푸드 (Tel : 051)972-8461  /  Fax : 051)972-8463 )</t>
    <phoneticPr fontId="1" type="noConversion"/>
  </si>
  <si>
    <t>20251103</t>
  </si>
  <si>
    <t>입금</t>
  </si>
  <si>
    <t>면세</t>
  </si>
  <si>
    <t>이가에프엔비</t>
  </si>
  <si>
    <t>배송건 수</t>
  </si>
  <si>
    <t>건</t>
  </si>
  <si>
    <t>해빛초등학교</t>
  </si>
  <si>
    <t>돈 후지(냉장)</t>
  </si>
  <si>
    <t>kg</t>
  </si>
  <si>
    <t>[1000g],[kg],[국산],[2등급 이상],[냉장],[돈취없을것, 살코기 다진것.]</t>
  </si>
  <si>
    <t>180030402460</t>
  </si>
  <si>
    <t>현곡초등학교</t>
  </si>
  <si>
    <t>닭-정육(다리발골육)(냉장)</t>
  </si>
  <si>
    <t>[1000g],[kg],[20g],[국산],[HACCP],[1등급 이상],[닭다리살],[냉장],[등급판정서],[유통기한/품질유지기한 표시]</t>
  </si>
  <si>
    <t>225102900601</t>
  </si>
  <si>
    <t>(주)금화</t>
  </si>
  <si>
    <t>20251104</t>
  </si>
  <si>
    <t>지산고등학교</t>
  </si>
  <si>
    <t>한우 우둔(냉장)</t>
  </si>
  <si>
    <t>[1000g],[kg],[국산],[2등급 이상],[국용],[냉장]</t>
  </si>
  <si>
    <t>002154530768</t>
  </si>
  <si>
    <t>[1000g],[kg],[국산],[2등급 이상],[다진것(.00)],[냉장]</t>
  </si>
  <si>
    <t>20251105</t>
  </si>
  <si>
    <t>명륜초등학교</t>
  </si>
  <si>
    <t>무항생제닭-정육(다리발골육)(냉장)</t>
  </si>
  <si>
    <t>껍질무,볶음밥</t>
  </si>
  <si>
    <t>[1000g],[kg],[국산],[1등급 이상],[껍질제거(깐것)(.00)],[냉장],[정육(다리살,껍질무),볶음밥용(크기크지않을것:1cm깍뚝썰기).</t>
  </si>
  <si>
    <t>225110101401</t>
  </si>
  <si>
    <t>동우팜투테이블</t>
  </si>
  <si>
    <t>[1000g],[kg],[국산],[2등급 이상],[카레용],[냉장]</t>
  </si>
  <si>
    <t>돈 전지(냉장)</t>
  </si>
  <si>
    <t>[1000g],[kg],[국산],[2등급 이상],[카레용],[2등급이상 냉장육으로 살코기부분만 카레용으로 썰어올것, 위생냉장포장]</t>
  </si>
  <si>
    <t>180038000620</t>
  </si>
  <si>
    <t>225110300601</t>
  </si>
  <si>
    <t>[1000g],[kg],[국산],[2등급 이상],[불고기용],[냉장],[살짝 얼려서 얇게 슬라이스(샤브샤브용)]</t>
  </si>
  <si>
    <t>20251106</t>
  </si>
  <si>
    <t>돈 삼겹살(냉장)</t>
  </si>
  <si>
    <t>[1000g],[kg],[국산],[2등급 이상],[편육용],[냉장]</t>
  </si>
  <si>
    <t>180039800972</t>
  </si>
  <si>
    <t>한우 설도(냉장)</t>
  </si>
  <si>
    <t>[1000g],[kg],[국산],[2등급 이상],[찌개용],[냉장],[찌개용으로 썰어올것/3*3*0.5]</t>
  </si>
  <si>
    <t>180021501090</t>
  </si>
  <si>
    <t>돈 등뼈(냉동)</t>
  </si>
  <si>
    <t>[1000g],[kg],[국산],[2등급 이상],[냉동],[감자탕용]</t>
  </si>
  <si>
    <t>170342800737</t>
  </si>
  <si>
    <t>[1000g],[kg],[국산],[HACCP],[2등급 이상],[냉장],[등급판정서],[도정일 표시등급판정일자 표시],[잡채용]</t>
  </si>
  <si>
    <t>20251107</t>
  </si>
  <si>
    <t>10일</t>
  </si>
  <si>
    <t>수입돈 등갈비(냉장)</t>
  </si>
  <si>
    <t>[1000g],[kg],[7cm],[외국산],[HACCP],[폭립용-스페인산외100%,살많이붙어있는것,70g정도,14개이상],[수입신고필증원산지증명서]</t>
  </si>
  <si>
    <t>[1000g],[kg],[국산],[2등급 이상],[냉동],[1일전 배송]</t>
  </si>
  <si>
    <t>한우 갈비(냉동)</t>
  </si>
  <si>
    <t>갈비41.8 	0202-09190065	002157180751_x000D_
_x000D_
갈비58.2 	0202-10140864	002182456733</t>
  </si>
  <si>
    <t>돈 갈비(냉동)</t>
  </si>
  <si>
    <t>[1000g],[kg],[국산],[HACCP],[2등급 이상],[찜용],[돼지갈비100%],[냉동],[등급판정서],[유통기한/품질유지기한 표시]</t>
  </si>
  <si>
    <t>170342800735</t>
  </si>
  <si>
    <t>돈 사태(냉장)</t>
  </si>
  <si>
    <t>[1000g],[kg],[국산],[2등급 이상],[장조림용],[냉장],[2*3*1]</t>
  </si>
  <si>
    <t>180009504221</t>
  </si>
  <si>
    <t>[1000g],[kg],[국산],[2등급 이상],[찌개용],[냉장]</t>
  </si>
  <si>
    <t>20251110</t>
  </si>
  <si>
    <t>[1000g],[kg],[국산],[2등급 이상],[장조림용],[냉장],[두께1.5cm*가로3cm*세로3cm]</t>
  </si>
  <si>
    <t>수입우 등심(냉장)</t>
  </si>
  <si>
    <t>[1000g],[kg],[외국산],[호주-오스트레일리아],[HACCP],[얇은슬라이스(.00)],[수입신고필증],[샤브샤브용]</t>
  </si>
  <si>
    <t>801159300192</t>
  </si>
  <si>
    <t>한우 양지(냉장)</t>
  </si>
  <si>
    <t>[1000g],[kg],[국산],[2등급 이상],[국용],[냉장],[등급판정서],[등급판정 10일이내, 근막이나 기름제거 후  국거리로  썰어올것</t>
  </si>
  <si>
    <t>002188348562</t>
  </si>
  <si>
    <t>20251111</t>
  </si>
  <si>
    <t>무항생제오리세절-3m</t>
  </si>
  <si>
    <t>[1000g],[kg],[국산],[친환경],[HACCP],[1등급 이상],[불고기용],[냉장],[등급판정서도축증명서],[원재료명 및 함량 표시유통기</t>
  </si>
  <si>
    <t>525110705801</t>
  </si>
  <si>
    <t>20251112</t>
  </si>
  <si>
    <t>무항생제닭-반마리(냉장)</t>
  </si>
  <si>
    <t>껍질무</t>
  </si>
  <si>
    <t>[1000g],[kg],[국산],[1등급 이상],[절단된것(.00)],[국내산1등급, 무항생제반마리, 껍질무.해썹업체제품, 냉장육,본사도축가공]</t>
  </si>
  <si>
    <t>225110801401</t>
  </si>
  <si>
    <t>닭-잔골(뼈)(냉장)</t>
  </si>
  <si>
    <t>[1000g],[kg],[닭육수용닭뼈, HACCP인증제품,이물질없고깨끗하게처리된것,온도유지]</t>
  </si>
  <si>
    <t>[1000g],[kg],[국산],[2등급 이상],[냉장,위생포장]</t>
  </si>
  <si>
    <t>002182456733</t>
  </si>
  <si>
    <t>[1000g],[kg],[국산],[2등급 이상],[얇은슬라이스(.00)],[양지],[냉동],[샤브샤브용]</t>
  </si>
  <si>
    <t>002187417099</t>
  </si>
  <si>
    <t>[1000g],[kg],[국산],[HACCP],[2등급 이상],[얇은슬라이스(.00)],[냉동],[등급판정서],[도정일 표시등급판정일자 표시],[샤브용]</t>
  </si>
  <si>
    <t>002116320752</t>
  </si>
  <si>
    <t>20251114</t>
  </si>
  <si>
    <t>[1000g],[kg],[국산],[2등급 이상],[불고기용],[냉장],[3~4mm작업]</t>
  </si>
  <si>
    <t>180018800666</t>
  </si>
  <si>
    <t>[1000g],[kg],[국산],[2등급 이상],[불고기용],[물렁뼈제거된것으로 얇게 썬것/볶음용/돈취없을것/살부분이 70%정도로 겉지방층</t>
  </si>
  <si>
    <t>[1000g],[kg],[국산],[2등급 이상],[불고기용],[냉장, 아주 얆게 슬라이스, 돈취없을것,4*4*0.3]</t>
  </si>
  <si>
    <t>20251118</t>
  </si>
  <si>
    <t>[1000g],[kg],[국산],[HACCP],[2등급 이상],[불고기용],[얇은슬라이스(.00)],[냉장],[등급판정서도축증명서],[2mm작업]</t>
  </si>
  <si>
    <t>180038000622</t>
  </si>
  <si>
    <t>돈 목심(냉장)</t>
  </si>
  <si>
    <t>[1000g],[kg],[국산],[2등급 이상],[수육용],[냉장]</t>
  </si>
  <si>
    <t>180030402474</t>
  </si>
  <si>
    <t>[1000g],[kg],[국산],[HACCP],[2등급 이상],[편육용],[덩어리(.00)],[돼지사태(국산100%)],[냉장],[등급판정서],[등급판정일자</t>
  </si>
  <si>
    <t>180039800975</t>
  </si>
  <si>
    <t>20251119</t>
  </si>
  <si>
    <t>[1000g],[kg],[500g],[국산],[HACCP],[2등급 이상],[편육용],[진공포장],[냉장]</t>
  </si>
  <si>
    <t>180035501238</t>
  </si>
  <si>
    <t>한우 사태(냉장)</t>
  </si>
  <si>
    <t>002170947784</t>
  </si>
  <si>
    <t>20251120</t>
  </si>
  <si>
    <t>[1000g],[kg],[국산],[2등급 이상],[채썬것(세절)(.00)],[냉장],[잡채용.haccp.암돼지육.등급판정일로부터 7일이내]</t>
  </si>
  <si>
    <t>180038000626</t>
  </si>
  <si>
    <t>[1000g],[kg],[국산],[HACCP],[2등급 이상],[불고기용],[냉장],[등급판정서도축증명서],[유통기한/품질유지기한 표시],[2mm슬라</t>
  </si>
  <si>
    <t>[1000g],[kg],[국산],[HACCP],[2등급 이상],[불고기용],[냉장],[등급판정서],[유통기한/품질유지기한 표시],[2mm/대패불고기]</t>
  </si>
  <si>
    <t>20251121</t>
  </si>
  <si>
    <t>225111801701</t>
  </si>
  <si>
    <t>(주)참프레</t>
  </si>
  <si>
    <t>20251124</t>
  </si>
  <si>
    <t>[1000g],[kg],[15g],[국산],[1등급 이상],[냉장],[껍질제거,다리살,15g,원료육이 하림,마니커,체리시스템,올품]</t>
  </si>
  <si>
    <t>225112100601</t>
  </si>
  <si>
    <t>[1000g],[kg],[국산],[2등급 이상],[채썬것(세절)(.00)],[냉장]</t>
  </si>
  <si>
    <t>[1000g],[kg],[국산],[2등급 이상],[찜용],[냉동],[등급판정서],[찜용갈비로 썰어올것/3*3*1/최근 작업한 신선하고 이취없을것/</t>
  </si>
  <si>
    <t>170102100718</t>
  </si>
  <si>
    <t>002149402652</t>
  </si>
  <si>
    <t>20251125</t>
  </si>
  <si>
    <t>[1000g],[kg],[외국산],[호주-오스트레일리아],[HACCP],[불고기용],[살짝얼려슬라이스 2mm작업],[수입신고필증]</t>
  </si>
  <si>
    <t>26일</t>
  </si>
  <si>
    <t>돈 단족(냉동)</t>
  </si>
  <si>
    <t>[1000g],[kg],[국산],[1등급 이상],[1일전 배송]</t>
  </si>
  <si>
    <t>180113100794</t>
  </si>
  <si>
    <t>돈 잡뼈(냉동)</t>
  </si>
  <si>
    <t>20251126</t>
  </si>
  <si>
    <t>180113100809</t>
  </si>
  <si>
    <t>한우 사골(냉동)</t>
  </si>
  <si>
    <t>[1000g],[kg],[국산],[HACCP],[2등급 이상],[육수용],[국산한우사골뼈100%],[냉동],[등급판정서],[원산지표시유통기한/품질유지</t>
  </si>
  <si>
    <t>한우 잡뼈(냉동)</t>
  </si>
  <si>
    <t>[1000g],[kg],[2등급 이상],[냉동]</t>
  </si>
  <si>
    <t>20251127</t>
  </si>
  <si>
    <t>닭-발(냉장)</t>
  </si>
  <si>
    <t>[1000g],[kg],[닭육수용닭발, HACCP인증제품,이물질없고깨끗하게처리된것,온도유지]</t>
  </si>
  <si>
    <t>20251128</t>
  </si>
  <si>
    <t>[1000g],[kg],[국산],[2등급 이상],[국용],[냉장],[등급판정서],[등급판정 10일이내, 근막이나 기름제거 후  마라탕 국거리로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</si>
</sst>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_-* #,##0.0_-;\-* #,##0.0_-;_-* &quot;-&quot;_-;_-@_-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8"/>
      <color rgb="FF000000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color rgb="FF000000"/>
      <name val="Arial"/>
      <family val="2"/>
    </font>
    <font>
      <b/>
      <sz val="9"/>
      <color rgb="FF164261"/>
      <name val="굴림체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u/>
      <sz val="20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굴림"/>
      <family val="3"/>
      <charset val="129"/>
    </font>
    <font>
      <b/>
      <sz val="12"/>
      <color rgb="FFFF0000"/>
      <name val="맑은 고딕"/>
      <family val="3"/>
      <charset val="129"/>
      <scheme val="minor"/>
    </font>
    <font>
      <sz val="9"/>
      <color theme="1"/>
      <name val="굴림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1" fillId="0" borderId="0" applyFont="0" applyFill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  <xf numFmtId="0" fontId="0" fillId="0" borderId="1" xfId="0" applyBorder="1">
      <alignment vertical="center"/>
    </xf>
    <xf numFmtId="41" fontId="2" fillId="0" borderId="0" xfId="1" applyFont="1" applyAlignment="1">
      <alignment vertical="center"/>
    </xf>
    <xf numFmtId="176" fontId="2" fillId="0" borderId="0" xfId="1" applyNumberFormat="1" applyFont="1" applyAlignment="1">
      <alignment vertical="center"/>
    </xf>
    <xf numFmtId="176" fontId="0" fillId="0" borderId="1" xfId="1" applyNumberFormat="1" applyFont="1" applyBorder="1">
      <alignment vertical="center"/>
    </xf>
    <xf numFmtId="41" fontId="0" fillId="0" borderId="1" xfId="1" applyFont="1" applyBorder="1">
      <alignment vertical="center"/>
    </xf>
    <xf numFmtId="41" fontId="0" fillId="0" borderId="2" xfId="1" applyFont="1" applyBorder="1">
      <alignment vertical="center"/>
    </xf>
    <xf numFmtId="176" fontId="0" fillId="0" borderId="2" xfId="1" applyNumberFormat="1" applyFont="1" applyBorder="1">
      <alignment vertical="center"/>
    </xf>
    <xf numFmtId="0" fontId="0" fillId="0" borderId="2" xfId="0" applyBorder="1">
      <alignment vertical="center"/>
    </xf>
    <xf numFmtId="41" fontId="8" fillId="5" borderId="6" xfId="1" applyFont="1" applyFill="1" applyBorder="1" applyAlignment="1">
      <alignment horizontal="center" vertical="center"/>
    </xf>
    <xf numFmtId="41" fontId="8" fillId="5" borderId="8" xfId="1" applyFont="1" applyFill="1" applyBorder="1" applyAlignment="1">
      <alignment horizontal="center" vertical="center"/>
    </xf>
    <xf numFmtId="41" fontId="8" fillId="5" borderId="10" xfId="1" applyFont="1" applyFill="1" applyBorder="1" applyAlignment="1">
      <alignment horizontal="center" vertical="center"/>
    </xf>
    <xf numFmtId="41" fontId="8" fillId="0" borderId="6" xfId="1" applyFont="1" applyBorder="1" applyAlignment="1">
      <alignment horizontal="center" vertical="center"/>
    </xf>
    <xf numFmtId="41" fontId="8" fillId="0" borderId="10" xfId="1" applyFont="1" applyBorder="1" applyAlignment="1">
      <alignment horizontal="center" vertical="center"/>
    </xf>
    <xf numFmtId="41" fontId="2" fillId="0" borderId="7" xfId="1" applyFont="1" applyBorder="1" applyAlignment="1">
      <alignment vertical="center"/>
    </xf>
    <xf numFmtId="41" fontId="2" fillId="0" borderId="9" xfId="1" applyFont="1" applyBorder="1" applyAlignment="1">
      <alignment vertical="center"/>
    </xf>
    <xf numFmtId="41" fontId="2" fillId="0" borderId="11" xfId="1" applyFont="1" applyBorder="1" applyAlignment="1">
      <alignment vertical="center"/>
    </xf>
    <xf numFmtId="0" fontId="5" fillId="3" borderId="1" xfId="0" applyFont="1" applyFill="1" applyBorder="1">
      <alignment vertical="center"/>
    </xf>
    <xf numFmtId="0" fontId="7" fillId="3" borderId="1" xfId="0" applyFont="1" applyFill="1" applyBorder="1" applyAlignment="1">
      <alignment horizontal="center" vertical="center"/>
    </xf>
    <xf numFmtId="176" fontId="7" fillId="3" borderId="1" xfId="1" applyNumberFormat="1" applyFont="1" applyFill="1" applyBorder="1" applyAlignment="1">
      <alignment horizontal="center" vertical="center"/>
    </xf>
    <xf numFmtId="41" fontId="7" fillId="3" borderId="1" xfId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41" fontId="2" fillId="5" borderId="11" xfId="1" applyFont="1" applyFill="1" applyBorder="1" applyAlignment="1">
      <alignment vertical="center"/>
    </xf>
    <xf numFmtId="41" fontId="0" fillId="0" borderId="2" xfId="1" applyFont="1" applyFill="1" applyBorder="1">
      <alignment vertical="center"/>
    </xf>
    <xf numFmtId="49" fontId="7" fillId="3" borderId="1" xfId="1" applyNumberFormat="1" applyFont="1" applyFill="1" applyBorder="1" applyAlignment="1">
      <alignment horizontal="center" vertical="center"/>
    </xf>
    <xf numFmtId="49" fontId="0" fillId="0" borderId="1" xfId="1" applyNumberFormat="1" applyFont="1" applyBorder="1">
      <alignment vertical="center"/>
    </xf>
    <xf numFmtId="49" fontId="0" fillId="0" borderId="2" xfId="1" applyNumberFormat="1" applyFont="1" applyBorder="1">
      <alignment vertical="center"/>
    </xf>
    <xf numFmtId="49" fontId="2" fillId="0" borderId="0" xfId="1" applyNumberFormat="1" applyFont="1" applyAlignment="1">
      <alignment vertical="center"/>
    </xf>
    <xf numFmtId="0" fontId="2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left" vertical="center"/>
    </xf>
    <xf numFmtId="49" fontId="12" fillId="0" borderId="1" xfId="0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left" vertical="center"/>
    </xf>
    <xf numFmtId="3" fontId="12" fillId="0" borderId="1" xfId="0" applyNumberFormat="1" applyFont="1" applyBorder="1" applyAlignment="1">
      <alignment horizontal="right" vertical="center"/>
    </xf>
    <xf numFmtId="0" fontId="12" fillId="0" borderId="1" xfId="0" applyFont="1" applyBorder="1" applyAlignment="1">
      <alignment horizontal="center" vertical="center"/>
    </xf>
    <xf numFmtId="41" fontId="12" fillId="0" borderId="1" xfId="1" applyFont="1" applyBorder="1" applyAlignment="1">
      <alignment horizontal="right" vertical="center"/>
    </xf>
    <xf numFmtId="3" fontId="12" fillId="0" borderId="1" xfId="0" applyNumberFormat="1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right" vertical="center"/>
    </xf>
    <xf numFmtId="0" fontId="4" fillId="4" borderId="4" xfId="0" applyFont="1" applyFill="1" applyBorder="1" applyAlignment="1">
      <alignment horizontal="right" vertical="center"/>
    </xf>
    <xf numFmtId="0" fontId="4" fillId="4" borderId="5" xfId="0" applyFont="1" applyFill="1" applyBorder="1" applyAlignment="1">
      <alignment horizontal="right" vertical="center"/>
    </xf>
    <xf numFmtId="0" fontId="8" fillId="0" borderId="1" xfId="0" quotePrefix="1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49" fontId="12" fillId="5" borderId="1" xfId="0" applyNumberFormat="1" applyFont="1" applyFill="1" applyBorder="1" applyAlignment="1">
      <alignment horizontal="center" vertical="center"/>
    </xf>
    <xf numFmtId="49" fontId="12" fillId="5" borderId="1" xfId="0" applyNumberFormat="1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center" vertical="center"/>
    </xf>
    <xf numFmtId="3" fontId="12" fillId="5" borderId="1" xfId="0" applyNumberFormat="1" applyFont="1" applyFill="1" applyBorder="1" applyAlignment="1">
      <alignment horizontal="right" vertical="center"/>
    </xf>
    <xf numFmtId="41" fontId="12" fillId="5" borderId="1" xfId="1" applyFont="1" applyFill="1" applyBorder="1" applyAlignment="1">
      <alignment horizontal="right" vertical="center"/>
    </xf>
    <xf numFmtId="3" fontId="12" fillId="5" borderId="1" xfId="0" applyNumberFormat="1" applyFont="1" applyFill="1" applyBorder="1" applyAlignment="1">
      <alignment horizontal="left" vertical="center"/>
    </xf>
    <xf numFmtId="49" fontId="14" fillId="5" borderId="1" xfId="0" applyNumberFormat="1" applyFont="1" applyFill="1" applyBorder="1" applyAlignment="1">
      <alignment horizontal="left" vertical="center"/>
    </xf>
    <xf numFmtId="3" fontId="12" fillId="5" borderId="1" xfId="0" applyNumberFormat="1" applyFont="1" applyFill="1" applyBorder="1" applyAlignment="1">
      <alignment horizontal="left" vertical="center" wrapText="1"/>
    </xf>
    <xf numFmtId="41" fontId="0" fillId="5" borderId="1" xfId="1" applyFont="1" applyFill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122"/>
  <sheetViews>
    <sheetView tabSelected="1" zoomScaleNormal="100" workbookViewId="0">
      <pane ySplit="3" topLeftCell="A52" activePane="bottomLeft" state="frozen"/>
      <selection pane="bottomLeft" activeCell="M70" sqref="M70"/>
    </sheetView>
  </sheetViews>
  <sheetFormatPr defaultColWidth="9" defaultRowHeight="16.5" x14ac:dyDescent="0.3"/>
  <cols>
    <col min="1" max="1" width="3.375" style="1" customWidth="1"/>
    <col min="2" max="2" width="11" style="31" customWidth="1"/>
    <col min="3" max="3" width="13.125" style="1" customWidth="1"/>
    <col min="4" max="4" width="11.875" style="1" customWidth="1"/>
    <col min="5" max="5" width="29.5" style="1" bestFit="1" customWidth="1"/>
    <col min="6" max="6" width="4.5" style="5" customWidth="1"/>
    <col min="7" max="7" width="10.625" style="4" customWidth="1"/>
    <col min="8" max="8" width="7.625" style="4" customWidth="1"/>
    <col min="9" max="9" width="10.5" style="4" bestFit="1" customWidth="1"/>
    <col min="10" max="10" width="12.625" style="4" customWidth="1"/>
    <col min="11" max="11" width="13.75" style="4" bestFit="1" customWidth="1"/>
    <col min="12" max="12" width="12.375" style="4" bestFit="1" customWidth="1"/>
    <col min="13" max="13" width="15.125" style="30" bestFit="1" customWidth="1"/>
    <col min="14" max="14" width="18.375" style="4" customWidth="1"/>
    <col min="15" max="15" width="10.5" style="4" bestFit="1" customWidth="1"/>
    <col min="16" max="16384" width="9" style="1"/>
  </cols>
  <sheetData>
    <row r="1" spans="1:15" ht="30" customHeight="1" x14ac:dyDescent="0.3">
      <c r="A1" s="41" t="s">
        <v>23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</row>
    <row r="2" spans="1:15" ht="22.5" customHeight="1" x14ac:dyDescent="0.3">
      <c r="A2" s="42" t="s">
        <v>24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</row>
    <row r="3" spans="1:15" s="2" customFormat="1" ht="16.5" customHeight="1" x14ac:dyDescent="0.3">
      <c r="A3" s="19"/>
      <c r="B3" s="20" t="s">
        <v>11</v>
      </c>
      <c r="C3" s="20" t="s">
        <v>12</v>
      </c>
      <c r="D3" s="32" t="s">
        <v>13</v>
      </c>
      <c r="E3" s="20" t="s">
        <v>14</v>
      </c>
      <c r="F3" s="21" t="s">
        <v>0</v>
      </c>
      <c r="G3" s="22" t="s">
        <v>15</v>
      </c>
      <c r="H3" s="22" t="s">
        <v>1</v>
      </c>
      <c r="I3" s="22" t="s">
        <v>2</v>
      </c>
      <c r="J3" s="22" t="s">
        <v>3</v>
      </c>
      <c r="K3" s="22" t="s">
        <v>16</v>
      </c>
      <c r="L3" s="22" t="s">
        <v>17</v>
      </c>
      <c r="M3" s="27" t="s">
        <v>18</v>
      </c>
      <c r="N3" s="22" t="s">
        <v>19</v>
      </c>
      <c r="O3" s="22" t="s">
        <v>22</v>
      </c>
    </row>
    <row r="4" spans="1:15" customFormat="1" ht="16.5" customHeight="1" x14ac:dyDescent="0.3">
      <c r="A4" s="23">
        <v>1</v>
      </c>
      <c r="B4" s="34" t="s">
        <v>25</v>
      </c>
      <c r="C4" s="35"/>
      <c r="D4" s="35"/>
      <c r="E4" s="35" t="s">
        <v>26</v>
      </c>
      <c r="F4" s="34"/>
      <c r="G4" s="35"/>
      <c r="H4" s="37">
        <v>0</v>
      </c>
      <c r="I4" s="36">
        <v>0</v>
      </c>
      <c r="J4" s="36">
        <f t="shared" ref="J4:J35" si="0">H4*I4</f>
        <v>0</v>
      </c>
      <c r="K4" s="38">
        <f>J4</f>
        <v>0</v>
      </c>
      <c r="L4" s="39"/>
      <c r="M4" s="33"/>
      <c r="N4" s="35"/>
      <c r="O4" s="34" t="s">
        <v>27</v>
      </c>
    </row>
    <row r="5" spans="1:15" customFormat="1" ht="16.5" customHeight="1" x14ac:dyDescent="0.3">
      <c r="A5" s="23">
        <v>2</v>
      </c>
      <c r="B5" s="34" t="s">
        <v>25</v>
      </c>
      <c r="C5" s="35" t="s">
        <v>28</v>
      </c>
      <c r="D5" s="35"/>
      <c r="E5" s="35" t="s">
        <v>29</v>
      </c>
      <c r="F5" s="34" t="s">
        <v>30</v>
      </c>
      <c r="G5" s="35"/>
      <c r="H5" s="37">
        <v>2</v>
      </c>
      <c r="I5" s="36">
        <v>25000</v>
      </c>
      <c r="J5" s="36">
        <f t="shared" si="0"/>
        <v>50000</v>
      </c>
      <c r="K5" s="38">
        <f t="shared" ref="K5:K36" si="1">K4+J5</f>
        <v>50000</v>
      </c>
      <c r="L5" s="39"/>
      <c r="M5" s="33"/>
      <c r="N5" s="35"/>
      <c r="O5" s="34" t="s">
        <v>27</v>
      </c>
    </row>
    <row r="6" spans="1:15" customFormat="1" ht="16.5" customHeight="1" x14ac:dyDescent="0.3">
      <c r="A6" s="23">
        <v>3</v>
      </c>
      <c r="B6" s="34" t="s">
        <v>25</v>
      </c>
      <c r="C6" s="35" t="s">
        <v>31</v>
      </c>
      <c r="D6" s="35"/>
      <c r="E6" s="35" t="s">
        <v>32</v>
      </c>
      <c r="F6" s="34" t="s">
        <v>33</v>
      </c>
      <c r="G6" s="35"/>
      <c r="H6" s="37">
        <v>10</v>
      </c>
      <c r="I6" s="36">
        <v>7300</v>
      </c>
      <c r="J6" s="36">
        <f t="shared" si="0"/>
        <v>73000</v>
      </c>
      <c r="K6" s="38">
        <f t="shared" si="1"/>
        <v>123000</v>
      </c>
      <c r="L6" s="39" t="s">
        <v>34</v>
      </c>
      <c r="M6" s="33" t="s">
        <v>35</v>
      </c>
      <c r="N6" s="35"/>
      <c r="O6" s="34" t="s">
        <v>27</v>
      </c>
    </row>
    <row r="7" spans="1:15" customFormat="1" ht="16.5" customHeight="1" x14ac:dyDescent="0.3">
      <c r="A7" s="23">
        <v>4</v>
      </c>
      <c r="B7" s="34" t="s">
        <v>25</v>
      </c>
      <c r="C7" s="35" t="s">
        <v>36</v>
      </c>
      <c r="D7" s="35"/>
      <c r="E7" s="35" t="s">
        <v>37</v>
      </c>
      <c r="F7" s="34" t="s">
        <v>33</v>
      </c>
      <c r="G7" s="35"/>
      <c r="H7" s="37">
        <v>9</v>
      </c>
      <c r="I7" s="36">
        <v>9800</v>
      </c>
      <c r="J7" s="36">
        <f t="shared" si="0"/>
        <v>88200</v>
      </c>
      <c r="K7" s="38">
        <f t="shared" si="1"/>
        <v>211200</v>
      </c>
      <c r="L7" s="39" t="s">
        <v>38</v>
      </c>
      <c r="M7" s="33" t="s">
        <v>39</v>
      </c>
      <c r="N7" s="35" t="s">
        <v>40</v>
      </c>
      <c r="O7" s="34" t="s">
        <v>27</v>
      </c>
    </row>
    <row r="8" spans="1:15" customFormat="1" ht="16.5" customHeight="1" x14ac:dyDescent="0.3">
      <c r="A8" s="23">
        <v>5</v>
      </c>
      <c r="B8" s="34" t="s">
        <v>41</v>
      </c>
      <c r="C8" s="35" t="s">
        <v>28</v>
      </c>
      <c r="D8" s="35"/>
      <c r="E8" s="35" t="s">
        <v>29</v>
      </c>
      <c r="F8" s="34" t="s">
        <v>30</v>
      </c>
      <c r="G8" s="35"/>
      <c r="H8" s="37">
        <v>1</v>
      </c>
      <c r="I8" s="36">
        <v>25000</v>
      </c>
      <c r="J8" s="36">
        <f t="shared" si="0"/>
        <v>25000</v>
      </c>
      <c r="K8" s="38">
        <f t="shared" si="1"/>
        <v>236200</v>
      </c>
      <c r="L8" s="39"/>
      <c r="M8" s="33"/>
      <c r="N8" s="35"/>
      <c r="O8" s="34" t="s">
        <v>27</v>
      </c>
    </row>
    <row r="9" spans="1:15" customFormat="1" ht="16.5" customHeight="1" x14ac:dyDescent="0.3">
      <c r="A9" s="23">
        <v>6</v>
      </c>
      <c r="B9" s="34" t="s">
        <v>41</v>
      </c>
      <c r="C9" s="35" t="s">
        <v>42</v>
      </c>
      <c r="D9" s="35"/>
      <c r="E9" s="35" t="s">
        <v>43</v>
      </c>
      <c r="F9" s="34" t="s">
        <v>33</v>
      </c>
      <c r="G9" s="35"/>
      <c r="H9" s="37">
        <v>2</v>
      </c>
      <c r="I9" s="36">
        <v>28000</v>
      </c>
      <c r="J9" s="36">
        <f t="shared" si="0"/>
        <v>56000</v>
      </c>
      <c r="K9" s="38">
        <f t="shared" si="1"/>
        <v>292200</v>
      </c>
      <c r="L9" s="39" t="s">
        <v>44</v>
      </c>
      <c r="M9" s="33" t="s">
        <v>45</v>
      </c>
      <c r="N9" s="35"/>
      <c r="O9" s="34" t="s">
        <v>27</v>
      </c>
    </row>
    <row r="10" spans="1:15" customFormat="1" ht="16.5" customHeight="1" x14ac:dyDescent="0.3">
      <c r="A10" s="23">
        <v>7</v>
      </c>
      <c r="B10" s="34" t="s">
        <v>41</v>
      </c>
      <c r="C10" s="35" t="s">
        <v>42</v>
      </c>
      <c r="D10" s="35"/>
      <c r="E10" s="35" t="s">
        <v>43</v>
      </c>
      <c r="F10" s="34" t="s">
        <v>33</v>
      </c>
      <c r="G10" s="35"/>
      <c r="H10" s="37">
        <v>5</v>
      </c>
      <c r="I10" s="36">
        <v>28000</v>
      </c>
      <c r="J10" s="36">
        <f t="shared" si="0"/>
        <v>140000</v>
      </c>
      <c r="K10" s="38">
        <f t="shared" si="1"/>
        <v>432200</v>
      </c>
      <c r="L10" s="39" t="s">
        <v>46</v>
      </c>
      <c r="M10" s="33" t="s">
        <v>45</v>
      </c>
      <c r="N10" s="35"/>
      <c r="O10" s="34" t="s">
        <v>27</v>
      </c>
    </row>
    <row r="11" spans="1:15" customFormat="1" ht="16.5" customHeight="1" x14ac:dyDescent="0.3">
      <c r="A11" s="23">
        <v>8</v>
      </c>
      <c r="B11" s="34" t="s">
        <v>47</v>
      </c>
      <c r="C11" s="35" t="s">
        <v>28</v>
      </c>
      <c r="D11" s="35"/>
      <c r="E11" s="35" t="s">
        <v>29</v>
      </c>
      <c r="F11" s="34" t="s">
        <v>30</v>
      </c>
      <c r="G11" s="35"/>
      <c r="H11" s="37">
        <v>4</v>
      </c>
      <c r="I11" s="36">
        <v>25000</v>
      </c>
      <c r="J11" s="36">
        <f t="shared" si="0"/>
        <v>100000</v>
      </c>
      <c r="K11" s="38">
        <f t="shared" si="1"/>
        <v>532200</v>
      </c>
      <c r="L11" s="39"/>
      <c r="M11" s="33"/>
      <c r="N11" s="35"/>
      <c r="O11" s="34" t="s">
        <v>27</v>
      </c>
    </row>
    <row r="12" spans="1:15" customFormat="1" ht="16.5" customHeight="1" x14ac:dyDescent="0.3">
      <c r="A12" s="23">
        <v>9</v>
      </c>
      <c r="B12" s="34" t="s">
        <v>47</v>
      </c>
      <c r="C12" s="35" t="s">
        <v>48</v>
      </c>
      <c r="D12" s="35"/>
      <c r="E12" s="35" t="s">
        <v>49</v>
      </c>
      <c r="F12" s="34" t="s">
        <v>33</v>
      </c>
      <c r="G12" s="35" t="s">
        <v>50</v>
      </c>
      <c r="H12" s="37">
        <v>32</v>
      </c>
      <c r="I12" s="36">
        <v>10900</v>
      </c>
      <c r="J12" s="36">
        <f t="shared" si="0"/>
        <v>348800</v>
      </c>
      <c r="K12" s="38">
        <f t="shared" si="1"/>
        <v>881000</v>
      </c>
      <c r="L12" s="39" t="s">
        <v>51</v>
      </c>
      <c r="M12" s="33" t="s">
        <v>52</v>
      </c>
      <c r="N12" s="35" t="s">
        <v>53</v>
      </c>
      <c r="O12" s="34" t="s">
        <v>27</v>
      </c>
    </row>
    <row r="13" spans="1:15" customFormat="1" ht="16.5" customHeight="1" x14ac:dyDescent="0.3">
      <c r="A13" s="23">
        <v>10</v>
      </c>
      <c r="B13" s="34" t="s">
        <v>47</v>
      </c>
      <c r="C13" s="35" t="s">
        <v>42</v>
      </c>
      <c r="D13" s="35"/>
      <c r="E13" s="35" t="s">
        <v>32</v>
      </c>
      <c r="F13" s="34" t="s">
        <v>33</v>
      </c>
      <c r="G13" s="35"/>
      <c r="H13" s="37">
        <v>4</v>
      </c>
      <c r="I13" s="36">
        <v>7300</v>
      </c>
      <c r="J13" s="36">
        <f t="shared" si="0"/>
        <v>29200</v>
      </c>
      <c r="K13" s="38">
        <f t="shared" si="1"/>
        <v>910200</v>
      </c>
      <c r="L13" s="39" t="s">
        <v>54</v>
      </c>
      <c r="M13" s="33" t="s">
        <v>35</v>
      </c>
      <c r="N13" s="35"/>
      <c r="O13" s="34" t="s">
        <v>27</v>
      </c>
    </row>
    <row r="14" spans="1:15" customFormat="1" ht="16.5" customHeight="1" x14ac:dyDescent="0.3">
      <c r="A14" s="23">
        <v>11</v>
      </c>
      <c r="B14" s="34" t="s">
        <v>47</v>
      </c>
      <c r="C14" s="35" t="s">
        <v>31</v>
      </c>
      <c r="D14" s="35"/>
      <c r="E14" s="35" t="s">
        <v>55</v>
      </c>
      <c r="F14" s="34" t="s">
        <v>33</v>
      </c>
      <c r="G14" s="35"/>
      <c r="H14" s="37">
        <v>15</v>
      </c>
      <c r="I14" s="36">
        <v>8500</v>
      </c>
      <c r="J14" s="36">
        <f t="shared" si="0"/>
        <v>127500</v>
      </c>
      <c r="K14" s="38">
        <f t="shared" si="1"/>
        <v>1037700</v>
      </c>
      <c r="L14" s="39" t="s">
        <v>56</v>
      </c>
      <c r="M14" s="33" t="s">
        <v>57</v>
      </c>
      <c r="N14" s="35"/>
      <c r="O14" s="34" t="s">
        <v>27</v>
      </c>
    </row>
    <row r="15" spans="1:15" customFormat="1" ht="16.5" customHeight="1" x14ac:dyDescent="0.3">
      <c r="A15" s="23">
        <v>12</v>
      </c>
      <c r="B15" s="34" t="s">
        <v>47</v>
      </c>
      <c r="C15" s="35" t="s">
        <v>36</v>
      </c>
      <c r="D15" s="35"/>
      <c r="E15" s="35" t="s">
        <v>37</v>
      </c>
      <c r="F15" s="34" t="s">
        <v>33</v>
      </c>
      <c r="G15" s="35"/>
      <c r="H15" s="37">
        <v>9</v>
      </c>
      <c r="I15" s="36">
        <v>9800</v>
      </c>
      <c r="J15" s="36">
        <f t="shared" si="0"/>
        <v>88200</v>
      </c>
      <c r="K15" s="38">
        <f t="shared" si="1"/>
        <v>1125900</v>
      </c>
      <c r="L15" s="39" t="s">
        <v>38</v>
      </c>
      <c r="M15" s="33" t="s">
        <v>58</v>
      </c>
      <c r="N15" s="35" t="s">
        <v>40</v>
      </c>
      <c r="O15" s="34" t="s">
        <v>27</v>
      </c>
    </row>
    <row r="16" spans="1:15" customFormat="1" ht="16.5" customHeight="1" x14ac:dyDescent="0.3">
      <c r="A16" s="23">
        <v>13</v>
      </c>
      <c r="B16" s="34" t="s">
        <v>47</v>
      </c>
      <c r="C16" s="35" t="s">
        <v>36</v>
      </c>
      <c r="D16" s="35"/>
      <c r="E16" s="35" t="s">
        <v>43</v>
      </c>
      <c r="F16" s="34" t="s">
        <v>33</v>
      </c>
      <c r="G16" s="35"/>
      <c r="H16" s="37">
        <v>2.5</v>
      </c>
      <c r="I16" s="36">
        <v>28000</v>
      </c>
      <c r="J16" s="36">
        <f t="shared" si="0"/>
        <v>70000</v>
      </c>
      <c r="K16" s="38">
        <f t="shared" si="1"/>
        <v>1195900</v>
      </c>
      <c r="L16" s="39" t="s">
        <v>59</v>
      </c>
      <c r="M16" s="33" t="s">
        <v>45</v>
      </c>
      <c r="N16" s="35"/>
      <c r="O16" s="34" t="s">
        <v>27</v>
      </c>
    </row>
    <row r="17" spans="1:15" customFormat="1" ht="16.5" customHeight="1" x14ac:dyDescent="0.3">
      <c r="A17" s="23">
        <v>14</v>
      </c>
      <c r="B17" s="34" t="s">
        <v>60</v>
      </c>
      <c r="C17" s="35" t="s">
        <v>28</v>
      </c>
      <c r="D17" s="35"/>
      <c r="E17" s="35" t="s">
        <v>29</v>
      </c>
      <c r="F17" s="34" t="s">
        <v>30</v>
      </c>
      <c r="G17" s="35"/>
      <c r="H17" s="37">
        <v>3</v>
      </c>
      <c r="I17" s="36">
        <v>25000</v>
      </c>
      <c r="J17" s="36">
        <f t="shared" si="0"/>
        <v>75000</v>
      </c>
      <c r="K17" s="38">
        <f t="shared" si="1"/>
        <v>1270900</v>
      </c>
      <c r="L17" s="39"/>
      <c r="M17" s="33"/>
      <c r="N17" s="35"/>
      <c r="O17" s="34" t="s">
        <v>27</v>
      </c>
    </row>
    <row r="18" spans="1:15" customFormat="1" ht="16.5" customHeight="1" x14ac:dyDescent="0.3">
      <c r="A18" s="23">
        <v>15</v>
      </c>
      <c r="B18" s="34" t="s">
        <v>60</v>
      </c>
      <c r="C18" s="35" t="s">
        <v>42</v>
      </c>
      <c r="D18" s="35"/>
      <c r="E18" s="35" t="s">
        <v>61</v>
      </c>
      <c r="F18" s="34" t="s">
        <v>33</v>
      </c>
      <c r="G18" s="35"/>
      <c r="H18" s="37">
        <v>97</v>
      </c>
      <c r="I18" s="36">
        <v>17500</v>
      </c>
      <c r="J18" s="36">
        <f t="shared" si="0"/>
        <v>1697500</v>
      </c>
      <c r="K18" s="38">
        <f t="shared" si="1"/>
        <v>2968400</v>
      </c>
      <c r="L18" s="39" t="s">
        <v>62</v>
      </c>
      <c r="M18" s="33" t="s">
        <v>63</v>
      </c>
      <c r="N18" s="35"/>
      <c r="O18" s="34" t="s">
        <v>27</v>
      </c>
    </row>
    <row r="19" spans="1:15" customFormat="1" ht="16.5" customHeight="1" x14ac:dyDescent="0.3">
      <c r="A19" s="23">
        <v>16</v>
      </c>
      <c r="B19" s="34" t="s">
        <v>60</v>
      </c>
      <c r="C19" s="35" t="s">
        <v>42</v>
      </c>
      <c r="D19" s="35"/>
      <c r="E19" s="35" t="s">
        <v>64</v>
      </c>
      <c r="F19" s="34" t="s">
        <v>33</v>
      </c>
      <c r="G19" s="35"/>
      <c r="H19" s="37">
        <v>3</v>
      </c>
      <c r="I19" s="36">
        <v>28000</v>
      </c>
      <c r="J19" s="36">
        <f t="shared" si="0"/>
        <v>84000</v>
      </c>
      <c r="K19" s="38">
        <f t="shared" si="1"/>
        <v>3052400</v>
      </c>
      <c r="L19" s="39" t="s">
        <v>44</v>
      </c>
      <c r="M19" s="33" t="s">
        <v>45</v>
      </c>
      <c r="N19" s="35"/>
      <c r="O19" s="34" t="s">
        <v>27</v>
      </c>
    </row>
    <row r="20" spans="1:15" customFormat="1" ht="16.5" customHeight="1" x14ac:dyDescent="0.3">
      <c r="A20" s="23">
        <v>17</v>
      </c>
      <c r="B20" s="34" t="s">
        <v>60</v>
      </c>
      <c r="C20" s="35" t="s">
        <v>31</v>
      </c>
      <c r="D20" s="35"/>
      <c r="E20" s="35" t="s">
        <v>55</v>
      </c>
      <c r="F20" s="34" t="s">
        <v>33</v>
      </c>
      <c r="G20" s="35"/>
      <c r="H20" s="37">
        <v>25</v>
      </c>
      <c r="I20" s="36">
        <v>8500</v>
      </c>
      <c r="J20" s="36">
        <f t="shared" si="0"/>
        <v>212500</v>
      </c>
      <c r="K20" s="38">
        <f t="shared" si="1"/>
        <v>3264900</v>
      </c>
      <c r="L20" s="39" t="s">
        <v>65</v>
      </c>
      <c r="M20" s="33" t="s">
        <v>66</v>
      </c>
      <c r="N20" s="35"/>
      <c r="O20" s="34" t="s">
        <v>27</v>
      </c>
    </row>
    <row r="21" spans="1:15" customFormat="1" ht="16.5" customHeight="1" x14ac:dyDescent="0.3">
      <c r="A21" s="23">
        <v>18</v>
      </c>
      <c r="B21" s="34" t="s">
        <v>60</v>
      </c>
      <c r="C21" s="35" t="s">
        <v>36</v>
      </c>
      <c r="D21" s="35"/>
      <c r="E21" s="35" t="s">
        <v>67</v>
      </c>
      <c r="F21" s="34" t="s">
        <v>33</v>
      </c>
      <c r="G21" s="35"/>
      <c r="H21" s="37">
        <v>6</v>
      </c>
      <c r="I21" s="36">
        <v>3800</v>
      </c>
      <c r="J21" s="36">
        <f t="shared" si="0"/>
        <v>22800</v>
      </c>
      <c r="K21" s="38">
        <f t="shared" si="1"/>
        <v>3287700</v>
      </c>
      <c r="L21" s="39" t="s">
        <v>68</v>
      </c>
      <c r="M21" s="33" t="s">
        <v>69</v>
      </c>
      <c r="N21" s="35"/>
      <c r="O21" s="34" t="s">
        <v>27</v>
      </c>
    </row>
    <row r="22" spans="1:15" customFormat="1" ht="16.5" customHeight="1" x14ac:dyDescent="0.3">
      <c r="A22" s="23">
        <v>19</v>
      </c>
      <c r="B22" s="34" t="s">
        <v>60</v>
      </c>
      <c r="C22" s="35" t="s">
        <v>36</v>
      </c>
      <c r="D22" s="35"/>
      <c r="E22" s="35" t="s">
        <v>43</v>
      </c>
      <c r="F22" s="34" t="s">
        <v>33</v>
      </c>
      <c r="G22" s="35"/>
      <c r="H22" s="37">
        <v>0.5</v>
      </c>
      <c r="I22" s="36">
        <v>28000</v>
      </c>
      <c r="J22" s="36">
        <f t="shared" si="0"/>
        <v>14000</v>
      </c>
      <c r="K22" s="38">
        <f t="shared" si="1"/>
        <v>3301700</v>
      </c>
      <c r="L22" s="39" t="s">
        <v>70</v>
      </c>
      <c r="M22" s="33" t="s">
        <v>45</v>
      </c>
      <c r="N22" s="35"/>
      <c r="O22" s="34" t="s">
        <v>27</v>
      </c>
    </row>
    <row r="23" spans="1:15" customFormat="1" ht="16.5" customHeight="1" x14ac:dyDescent="0.3">
      <c r="A23" s="23">
        <v>20</v>
      </c>
      <c r="B23" s="34" t="s">
        <v>71</v>
      </c>
      <c r="C23" s="35" t="s">
        <v>28</v>
      </c>
      <c r="D23" s="35"/>
      <c r="E23" s="35" t="s">
        <v>29</v>
      </c>
      <c r="F23" s="34" t="s">
        <v>30</v>
      </c>
      <c r="G23" s="35"/>
      <c r="H23" s="37">
        <v>3</v>
      </c>
      <c r="I23" s="36">
        <v>25000</v>
      </c>
      <c r="J23" s="36">
        <f t="shared" si="0"/>
        <v>75000</v>
      </c>
      <c r="K23" s="38">
        <f t="shared" si="1"/>
        <v>3376700</v>
      </c>
      <c r="L23" s="39"/>
      <c r="M23" s="33"/>
      <c r="N23" s="35"/>
      <c r="O23" s="34" t="s">
        <v>27</v>
      </c>
    </row>
    <row r="24" spans="1:15" customFormat="1" ht="16.5" customHeight="1" x14ac:dyDescent="0.3">
      <c r="A24" s="23">
        <v>21</v>
      </c>
      <c r="B24" s="48" t="s">
        <v>71</v>
      </c>
      <c r="C24" s="49" t="s">
        <v>42</v>
      </c>
      <c r="D24" s="49" t="s">
        <v>72</v>
      </c>
      <c r="E24" s="49" t="s">
        <v>73</v>
      </c>
      <c r="F24" s="48" t="s">
        <v>33</v>
      </c>
      <c r="G24" s="49"/>
      <c r="H24" s="50">
        <v>100</v>
      </c>
      <c r="I24" s="51">
        <v>14200</v>
      </c>
      <c r="J24" s="51">
        <f t="shared" si="0"/>
        <v>1420000</v>
      </c>
      <c r="K24" s="52">
        <f t="shared" si="1"/>
        <v>4796700</v>
      </c>
      <c r="L24" s="53" t="s">
        <v>74</v>
      </c>
      <c r="M24" s="54"/>
      <c r="N24" s="35"/>
      <c r="O24" s="34" t="s">
        <v>27</v>
      </c>
    </row>
    <row r="25" spans="1:15" customFormat="1" ht="16.5" customHeight="1" x14ac:dyDescent="0.3">
      <c r="A25" s="23">
        <v>22</v>
      </c>
      <c r="B25" s="34" t="s">
        <v>71</v>
      </c>
      <c r="C25" s="35" t="s">
        <v>42</v>
      </c>
      <c r="D25" s="35" t="s">
        <v>72</v>
      </c>
      <c r="E25" s="35" t="s">
        <v>67</v>
      </c>
      <c r="F25" s="34" t="s">
        <v>33</v>
      </c>
      <c r="G25" s="35"/>
      <c r="H25" s="37">
        <v>30</v>
      </c>
      <c r="I25" s="36">
        <v>3800</v>
      </c>
      <c r="J25" s="36">
        <f t="shared" si="0"/>
        <v>114000</v>
      </c>
      <c r="K25" s="38">
        <f t="shared" si="1"/>
        <v>4910700</v>
      </c>
      <c r="L25" s="39" t="s">
        <v>75</v>
      </c>
      <c r="M25" s="33" t="s">
        <v>69</v>
      </c>
      <c r="N25" s="35"/>
      <c r="O25" s="34" t="s">
        <v>27</v>
      </c>
    </row>
    <row r="26" spans="1:15" customFormat="1" ht="16.5" customHeight="1" x14ac:dyDescent="0.3">
      <c r="A26" s="23">
        <v>23</v>
      </c>
      <c r="B26" s="48" t="s">
        <v>71</v>
      </c>
      <c r="C26" s="49" t="s">
        <v>31</v>
      </c>
      <c r="D26" s="49"/>
      <c r="E26" s="49" t="s">
        <v>76</v>
      </c>
      <c r="F26" s="48" t="s">
        <v>33</v>
      </c>
      <c r="G26" s="49"/>
      <c r="H26" s="50">
        <v>100</v>
      </c>
      <c r="I26" s="51">
        <v>30000</v>
      </c>
      <c r="J26" s="51">
        <f t="shared" si="0"/>
        <v>3000000</v>
      </c>
      <c r="K26" s="52">
        <f t="shared" si="1"/>
        <v>7910700</v>
      </c>
      <c r="L26" s="55" t="s">
        <v>77</v>
      </c>
      <c r="M26" s="54"/>
      <c r="N26" s="49"/>
      <c r="O26" s="48" t="s">
        <v>27</v>
      </c>
    </row>
    <row r="27" spans="1:15" customFormat="1" ht="16.5" customHeight="1" x14ac:dyDescent="0.3">
      <c r="A27" s="23">
        <v>24</v>
      </c>
      <c r="B27" s="34" t="s">
        <v>71</v>
      </c>
      <c r="C27" s="35" t="s">
        <v>36</v>
      </c>
      <c r="D27" s="35"/>
      <c r="E27" s="35" t="s">
        <v>78</v>
      </c>
      <c r="F27" s="34" t="s">
        <v>33</v>
      </c>
      <c r="G27" s="35"/>
      <c r="H27" s="37">
        <v>2</v>
      </c>
      <c r="I27" s="36">
        <v>8800</v>
      </c>
      <c r="J27" s="36">
        <f t="shared" si="0"/>
        <v>17600</v>
      </c>
      <c r="K27" s="38">
        <f t="shared" si="1"/>
        <v>7928300</v>
      </c>
      <c r="L27" s="39" t="s">
        <v>79</v>
      </c>
      <c r="M27" s="33" t="s">
        <v>80</v>
      </c>
      <c r="N27" s="35"/>
      <c r="O27" s="34" t="s">
        <v>27</v>
      </c>
    </row>
    <row r="28" spans="1:15" customFormat="1" ht="16.5" customHeight="1" x14ac:dyDescent="0.3">
      <c r="A28" s="23">
        <v>25</v>
      </c>
      <c r="B28" s="34" t="s">
        <v>71</v>
      </c>
      <c r="C28" s="35" t="s">
        <v>36</v>
      </c>
      <c r="D28" s="35"/>
      <c r="E28" s="35" t="s">
        <v>81</v>
      </c>
      <c r="F28" s="34" t="s">
        <v>33</v>
      </c>
      <c r="G28" s="35"/>
      <c r="H28" s="37">
        <v>2</v>
      </c>
      <c r="I28" s="36">
        <v>7900</v>
      </c>
      <c r="J28" s="36">
        <f t="shared" si="0"/>
        <v>15800</v>
      </c>
      <c r="K28" s="38">
        <f t="shared" si="1"/>
        <v>7944100</v>
      </c>
      <c r="L28" s="39" t="s">
        <v>82</v>
      </c>
      <c r="M28" s="33" t="s">
        <v>83</v>
      </c>
      <c r="N28" s="35"/>
      <c r="O28" s="34" t="s">
        <v>27</v>
      </c>
    </row>
    <row r="29" spans="1:15" customFormat="1" ht="16.5" customHeight="1" x14ac:dyDescent="0.3">
      <c r="A29" s="23">
        <v>26</v>
      </c>
      <c r="B29" s="34" t="s">
        <v>71</v>
      </c>
      <c r="C29" s="35" t="s">
        <v>36</v>
      </c>
      <c r="D29" s="35"/>
      <c r="E29" s="35" t="s">
        <v>61</v>
      </c>
      <c r="F29" s="34" t="s">
        <v>33</v>
      </c>
      <c r="G29" s="35"/>
      <c r="H29" s="37">
        <v>1</v>
      </c>
      <c r="I29" s="36">
        <v>17500</v>
      </c>
      <c r="J29" s="36">
        <f t="shared" si="0"/>
        <v>17500</v>
      </c>
      <c r="K29" s="38">
        <f t="shared" si="1"/>
        <v>7961600</v>
      </c>
      <c r="L29" s="39" t="s">
        <v>84</v>
      </c>
      <c r="M29" s="33" t="s">
        <v>63</v>
      </c>
      <c r="N29" s="35"/>
      <c r="O29" s="34" t="s">
        <v>27</v>
      </c>
    </row>
    <row r="30" spans="1:15" customFormat="1" ht="16.5" customHeight="1" x14ac:dyDescent="0.3">
      <c r="A30" s="23">
        <v>27</v>
      </c>
      <c r="B30" s="34" t="s">
        <v>85</v>
      </c>
      <c r="C30" s="35" t="s">
        <v>28</v>
      </c>
      <c r="D30" s="35"/>
      <c r="E30" s="35" t="s">
        <v>29</v>
      </c>
      <c r="F30" s="34" t="s">
        <v>30</v>
      </c>
      <c r="G30" s="35"/>
      <c r="H30" s="37">
        <v>2</v>
      </c>
      <c r="I30" s="36">
        <v>25000</v>
      </c>
      <c r="J30" s="36">
        <f t="shared" si="0"/>
        <v>50000</v>
      </c>
      <c r="K30" s="38">
        <f t="shared" si="1"/>
        <v>8011600</v>
      </c>
      <c r="L30" s="39"/>
      <c r="M30" s="33"/>
      <c r="N30" s="35"/>
      <c r="O30" s="34" t="s">
        <v>27</v>
      </c>
    </row>
    <row r="31" spans="1:15" customFormat="1" ht="16.5" customHeight="1" x14ac:dyDescent="0.3">
      <c r="A31" s="23">
        <v>28</v>
      </c>
      <c r="B31" s="34" t="s">
        <v>85</v>
      </c>
      <c r="C31" s="35" t="s">
        <v>42</v>
      </c>
      <c r="D31" s="35"/>
      <c r="E31" s="35" t="s">
        <v>32</v>
      </c>
      <c r="F31" s="34" t="s">
        <v>33</v>
      </c>
      <c r="G31" s="35"/>
      <c r="H31" s="37">
        <v>37</v>
      </c>
      <c r="I31" s="36">
        <v>7300</v>
      </c>
      <c r="J31" s="36">
        <f t="shared" si="0"/>
        <v>270100</v>
      </c>
      <c r="K31" s="38">
        <f t="shared" si="1"/>
        <v>8281700</v>
      </c>
      <c r="L31" s="39" t="s">
        <v>86</v>
      </c>
      <c r="M31" s="33" t="s">
        <v>66</v>
      </c>
      <c r="N31" s="35"/>
      <c r="O31" s="34" t="s">
        <v>27</v>
      </c>
    </row>
    <row r="32" spans="1:15" customFormat="1" ht="16.5" customHeight="1" x14ac:dyDescent="0.3">
      <c r="A32" s="23">
        <v>29</v>
      </c>
      <c r="B32" s="48" t="s">
        <v>85</v>
      </c>
      <c r="C32" s="49" t="s">
        <v>42</v>
      </c>
      <c r="D32" s="49"/>
      <c r="E32" s="49" t="s">
        <v>87</v>
      </c>
      <c r="F32" s="48" t="s">
        <v>33</v>
      </c>
      <c r="G32" s="49"/>
      <c r="H32" s="50">
        <v>9</v>
      </c>
      <c r="I32" s="51">
        <v>24400</v>
      </c>
      <c r="J32" s="51">
        <f t="shared" si="0"/>
        <v>219600</v>
      </c>
      <c r="K32" s="52">
        <f t="shared" si="1"/>
        <v>8501300</v>
      </c>
      <c r="L32" s="53" t="s">
        <v>88</v>
      </c>
      <c r="M32" s="54" t="s">
        <v>89</v>
      </c>
      <c r="N32" s="35"/>
      <c r="O32" s="34" t="s">
        <v>27</v>
      </c>
    </row>
    <row r="33" spans="1:15" customFormat="1" ht="16.5" customHeight="1" x14ac:dyDescent="0.3">
      <c r="A33" s="23">
        <v>30</v>
      </c>
      <c r="B33" s="34" t="s">
        <v>85</v>
      </c>
      <c r="C33" s="35" t="s">
        <v>31</v>
      </c>
      <c r="D33" s="35"/>
      <c r="E33" s="35" t="s">
        <v>90</v>
      </c>
      <c r="F33" s="34" t="s">
        <v>33</v>
      </c>
      <c r="G33" s="35"/>
      <c r="H33" s="37">
        <v>15</v>
      </c>
      <c r="I33" s="36">
        <v>28000</v>
      </c>
      <c r="J33" s="36">
        <f t="shared" si="0"/>
        <v>420000</v>
      </c>
      <c r="K33" s="38">
        <f t="shared" si="1"/>
        <v>8921300</v>
      </c>
      <c r="L33" s="39" t="s">
        <v>91</v>
      </c>
      <c r="M33" s="33" t="s">
        <v>92</v>
      </c>
      <c r="N33" s="35"/>
      <c r="O33" s="34" t="s">
        <v>27</v>
      </c>
    </row>
    <row r="34" spans="1:15" customFormat="1" ht="16.5" customHeight="1" x14ac:dyDescent="0.3">
      <c r="A34" s="23">
        <v>31</v>
      </c>
      <c r="B34" s="34" t="s">
        <v>93</v>
      </c>
      <c r="C34" s="35" t="s">
        <v>28</v>
      </c>
      <c r="D34" s="35"/>
      <c r="E34" s="35" t="s">
        <v>29</v>
      </c>
      <c r="F34" s="34" t="s">
        <v>30</v>
      </c>
      <c r="G34" s="35"/>
      <c r="H34" s="37">
        <v>1</v>
      </c>
      <c r="I34" s="36">
        <v>25000</v>
      </c>
      <c r="J34" s="36">
        <f t="shared" si="0"/>
        <v>25000</v>
      </c>
      <c r="K34" s="38">
        <f t="shared" si="1"/>
        <v>8946300</v>
      </c>
      <c r="L34" s="39"/>
      <c r="M34" s="33"/>
      <c r="N34" s="35"/>
      <c r="O34" s="34" t="s">
        <v>27</v>
      </c>
    </row>
    <row r="35" spans="1:15" customFormat="1" ht="16.5" customHeight="1" x14ac:dyDescent="0.3">
      <c r="A35" s="23">
        <v>32</v>
      </c>
      <c r="B35" s="34" t="s">
        <v>93</v>
      </c>
      <c r="C35" s="35" t="s">
        <v>36</v>
      </c>
      <c r="D35" s="35"/>
      <c r="E35" s="35" t="s">
        <v>94</v>
      </c>
      <c r="F35" s="34" t="s">
        <v>33</v>
      </c>
      <c r="G35" s="35"/>
      <c r="H35" s="37">
        <v>10</v>
      </c>
      <c r="I35" s="36">
        <v>8200</v>
      </c>
      <c r="J35" s="36">
        <f t="shared" si="0"/>
        <v>82000</v>
      </c>
      <c r="K35" s="38">
        <f t="shared" si="1"/>
        <v>9028300</v>
      </c>
      <c r="L35" s="39" t="s">
        <v>95</v>
      </c>
      <c r="M35" s="33" t="s">
        <v>96</v>
      </c>
      <c r="N35" s="35"/>
      <c r="O35" s="34" t="s">
        <v>27</v>
      </c>
    </row>
    <row r="36" spans="1:15" customFormat="1" ht="16.5" customHeight="1" x14ac:dyDescent="0.3">
      <c r="A36" s="23">
        <v>33</v>
      </c>
      <c r="B36" s="34" t="s">
        <v>97</v>
      </c>
      <c r="C36" s="35" t="s">
        <v>28</v>
      </c>
      <c r="D36" s="35"/>
      <c r="E36" s="35" t="s">
        <v>29</v>
      </c>
      <c r="F36" s="34" t="s">
        <v>30</v>
      </c>
      <c r="G36" s="35"/>
      <c r="H36" s="37">
        <v>3</v>
      </c>
      <c r="I36" s="36">
        <v>25000</v>
      </c>
      <c r="J36" s="36">
        <f t="shared" ref="J36:J67" si="2">H36*I36</f>
        <v>75000</v>
      </c>
      <c r="K36" s="38">
        <f t="shared" si="1"/>
        <v>9103300</v>
      </c>
      <c r="L36" s="39"/>
      <c r="M36" s="33"/>
      <c r="N36" s="35"/>
      <c r="O36" s="34" t="s">
        <v>27</v>
      </c>
    </row>
    <row r="37" spans="1:15" customFormat="1" ht="16.5" customHeight="1" x14ac:dyDescent="0.3">
      <c r="A37" s="23">
        <v>34</v>
      </c>
      <c r="B37" s="34" t="s">
        <v>97</v>
      </c>
      <c r="C37" s="35" t="s">
        <v>48</v>
      </c>
      <c r="D37" s="35"/>
      <c r="E37" s="35" t="s">
        <v>98</v>
      </c>
      <c r="F37" s="34" t="s">
        <v>33</v>
      </c>
      <c r="G37" s="35" t="s">
        <v>99</v>
      </c>
      <c r="H37" s="37">
        <v>36</v>
      </c>
      <c r="I37" s="36">
        <v>5400</v>
      </c>
      <c r="J37" s="36">
        <f t="shared" si="2"/>
        <v>194400</v>
      </c>
      <c r="K37" s="38">
        <f t="shared" ref="K37:K68" si="3">K36+J37</f>
        <v>9297700</v>
      </c>
      <c r="L37" s="39" t="s">
        <v>100</v>
      </c>
      <c r="M37" s="33" t="s">
        <v>101</v>
      </c>
      <c r="N37" s="35" t="s">
        <v>53</v>
      </c>
      <c r="O37" s="34" t="s">
        <v>27</v>
      </c>
    </row>
    <row r="38" spans="1:15" customFormat="1" ht="16.5" customHeight="1" x14ac:dyDescent="0.3">
      <c r="A38" s="23">
        <v>35</v>
      </c>
      <c r="B38" s="34" t="s">
        <v>97</v>
      </c>
      <c r="C38" s="35" t="s">
        <v>48</v>
      </c>
      <c r="D38" s="35"/>
      <c r="E38" s="35" t="s">
        <v>102</v>
      </c>
      <c r="F38" s="34" t="s">
        <v>33</v>
      </c>
      <c r="G38" s="35"/>
      <c r="H38" s="37">
        <v>20</v>
      </c>
      <c r="I38" s="36">
        <v>1000</v>
      </c>
      <c r="J38" s="36">
        <f t="shared" si="2"/>
        <v>20000</v>
      </c>
      <c r="K38" s="38">
        <f t="shared" si="3"/>
        <v>9317700</v>
      </c>
      <c r="L38" s="39" t="s">
        <v>103</v>
      </c>
      <c r="M38" s="33"/>
      <c r="N38" s="35" t="s">
        <v>53</v>
      </c>
      <c r="O38" s="34" t="s">
        <v>27</v>
      </c>
    </row>
    <row r="39" spans="1:15" customFormat="1" ht="16.5" customHeight="1" x14ac:dyDescent="0.3">
      <c r="A39" s="23">
        <v>36</v>
      </c>
      <c r="B39" s="34" t="s">
        <v>97</v>
      </c>
      <c r="C39" s="35" t="s">
        <v>31</v>
      </c>
      <c r="D39" s="35"/>
      <c r="E39" s="35" t="s">
        <v>43</v>
      </c>
      <c r="F39" s="34" t="s">
        <v>33</v>
      </c>
      <c r="G39" s="35"/>
      <c r="H39" s="37">
        <v>5</v>
      </c>
      <c r="I39" s="36">
        <v>28000</v>
      </c>
      <c r="J39" s="36">
        <f t="shared" si="2"/>
        <v>140000</v>
      </c>
      <c r="K39" s="38">
        <f t="shared" si="3"/>
        <v>9457700</v>
      </c>
      <c r="L39" s="39" t="s">
        <v>104</v>
      </c>
      <c r="M39" s="33" t="s">
        <v>105</v>
      </c>
      <c r="N39" s="35"/>
      <c r="O39" s="34" t="s">
        <v>27</v>
      </c>
    </row>
    <row r="40" spans="1:15" customFormat="1" ht="16.5" customHeight="1" x14ac:dyDescent="0.3">
      <c r="A40" s="23">
        <v>37</v>
      </c>
      <c r="B40" s="34" t="s">
        <v>97</v>
      </c>
      <c r="C40" s="35" t="s">
        <v>36</v>
      </c>
      <c r="D40" s="35"/>
      <c r="E40" s="35" t="s">
        <v>90</v>
      </c>
      <c r="F40" s="34" t="s">
        <v>33</v>
      </c>
      <c r="G40" s="35"/>
      <c r="H40" s="37">
        <v>1.5</v>
      </c>
      <c r="I40" s="36">
        <v>28000</v>
      </c>
      <c r="J40" s="36">
        <f t="shared" si="2"/>
        <v>42000</v>
      </c>
      <c r="K40" s="38">
        <f t="shared" si="3"/>
        <v>9499700</v>
      </c>
      <c r="L40" s="39" t="s">
        <v>106</v>
      </c>
      <c r="M40" s="33" t="s">
        <v>107</v>
      </c>
      <c r="N40" s="35"/>
      <c r="O40" s="34" t="s">
        <v>27</v>
      </c>
    </row>
    <row r="41" spans="1:15" customFormat="1" ht="16.5" customHeight="1" x14ac:dyDescent="0.3">
      <c r="A41" s="23">
        <v>38</v>
      </c>
      <c r="B41" s="34" t="s">
        <v>97</v>
      </c>
      <c r="C41" s="35" t="s">
        <v>36</v>
      </c>
      <c r="D41" s="35"/>
      <c r="E41" s="35" t="s">
        <v>43</v>
      </c>
      <c r="F41" s="34" t="s">
        <v>33</v>
      </c>
      <c r="G41" s="35"/>
      <c r="H41" s="37">
        <v>1.5</v>
      </c>
      <c r="I41" s="36">
        <v>28000</v>
      </c>
      <c r="J41" s="36">
        <f t="shared" si="2"/>
        <v>42000</v>
      </c>
      <c r="K41" s="38">
        <f t="shared" si="3"/>
        <v>9541700</v>
      </c>
      <c r="L41" s="39" t="s">
        <v>108</v>
      </c>
      <c r="M41" s="33" t="s">
        <v>109</v>
      </c>
      <c r="N41" s="35"/>
      <c r="O41" s="34" t="s">
        <v>27</v>
      </c>
    </row>
    <row r="42" spans="1:15" customFormat="1" ht="16.5" customHeight="1" x14ac:dyDescent="0.3">
      <c r="A42" s="23">
        <v>39</v>
      </c>
      <c r="B42" s="34" t="s">
        <v>110</v>
      </c>
      <c r="C42" s="35" t="s">
        <v>28</v>
      </c>
      <c r="D42" s="35"/>
      <c r="E42" s="35" t="s">
        <v>29</v>
      </c>
      <c r="F42" s="34" t="s">
        <v>30</v>
      </c>
      <c r="G42" s="35"/>
      <c r="H42" s="37">
        <v>3</v>
      </c>
      <c r="I42" s="36">
        <v>25000</v>
      </c>
      <c r="J42" s="36">
        <f t="shared" si="2"/>
        <v>75000</v>
      </c>
      <c r="K42" s="38">
        <f t="shared" si="3"/>
        <v>9616700</v>
      </c>
      <c r="L42" s="39"/>
      <c r="M42" s="33"/>
      <c r="N42" s="35"/>
      <c r="O42" s="34" t="s">
        <v>27</v>
      </c>
    </row>
    <row r="43" spans="1:15" customFormat="1" ht="16.5" customHeight="1" x14ac:dyDescent="0.3">
      <c r="A43" s="23">
        <v>40</v>
      </c>
      <c r="B43" s="34" t="s">
        <v>110</v>
      </c>
      <c r="C43" s="35" t="s">
        <v>42</v>
      </c>
      <c r="D43" s="35"/>
      <c r="E43" s="35" t="s">
        <v>55</v>
      </c>
      <c r="F43" s="34" t="s">
        <v>33</v>
      </c>
      <c r="G43" s="35"/>
      <c r="H43" s="37">
        <v>30</v>
      </c>
      <c r="I43" s="36">
        <v>8500</v>
      </c>
      <c r="J43" s="36">
        <f t="shared" si="2"/>
        <v>255000</v>
      </c>
      <c r="K43" s="38">
        <f t="shared" si="3"/>
        <v>9871700</v>
      </c>
      <c r="L43" s="39" t="s">
        <v>111</v>
      </c>
      <c r="M43" s="33" t="s">
        <v>112</v>
      </c>
      <c r="N43" s="35"/>
      <c r="O43" s="34" t="s">
        <v>27</v>
      </c>
    </row>
    <row r="44" spans="1:15" customFormat="1" ht="16.5" customHeight="1" x14ac:dyDescent="0.3">
      <c r="A44" s="23">
        <v>41</v>
      </c>
      <c r="B44" s="34" t="s">
        <v>110</v>
      </c>
      <c r="C44" s="35" t="s">
        <v>42</v>
      </c>
      <c r="D44" s="35"/>
      <c r="E44" s="35" t="s">
        <v>43</v>
      </c>
      <c r="F44" s="34" t="s">
        <v>33</v>
      </c>
      <c r="G44" s="35"/>
      <c r="H44" s="37">
        <v>1</v>
      </c>
      <c r="I44" s="36">
        <v>28000</v>
      </c>
      <c r="J44" s="36">
        <f t="shared" si="2"/>
        <v>28000</v>
      </c>
      <c r="K44" s="38">
        <f t="shared" si="3"/>
        <v>9899700</v>
      </c>
      <c r="L44" s="39" t="s">
        <v>46</v>
      </c>
      <c r="M44" s="33" t="s">
        <v>92</v>
      </c>
      <c r="N44" s="35"/>
      <c r="O44" s="34" t="s">
        <v>27</v>
      </c>
    </row>
    <row r="45" spans="1:15" customFormat="1" ht="16.5" customHeight="1" x14ac:dyDescent="0.3">
      <c r="A45" s="23">
        <v>42</v>
      </c>
      <c r="B45" s="34" t="s">
        <v>110</v>
      </c>
      <c r="C45" s="35" t="s">
        <v>31</v>
      </c>
      <c r="D45" s="35"/>
      <c r="E45" s="35" t="s">
        <v>61</v>
      </c>
      <c r="F45" s="34" t="s">
        <v>33</v>
      </c>
      <c r="G45" s="35"/>
      <c r="H45" s="37">
        <v>30</v>
      </c>
      <c r="I45" s="36">
        <v>17500</v>
      </c>
      <c r="J45" s="36">
        <f t="shared" si="2"/>
        <v>525000</v>
      </c>
      <c r="K45" s="38">
        <f t="shared" si="3"/>
        <v>10424700</v>
      </c>
      <c r="L45" s="39" t="s">
        <v>113</v>
      </c>
      <c r="M45" s="33" t="s">
        <v>66</v>
      </c>
      <c r="N45" s="35"/>
      <c r="O45" s="34" t="s">
        <v>27</v>
      </c>
    </row>
    <row r="46" spans="1:15" customFormat="1" ht="16.5" customHeight="1" x14ac:dyDescent="0.3">
      <c r="A46" s="23">
        <v>43</v>
      </c>
      <c r="B46" s="34" t="s">
        <v>110</v>
      </c>
      <c r="C46" s="35" t="s">
        <v>31</v>
      </c>
      <c r="D46" s="35"/>
      <c r="E46" s="35" t="s">
        <v>55</v>
      </c>
      <c r="F46" s="34" t="s">
        <v>33</v>
      </c>
      <c r="G46" s="35"/>
      <c r="H46" s="37">
        <v>40</v>
      </c>
      <c r="I46" s="36">
        <v>8500</v>
      </c>
      <c r="J46" s="36">
        <f t="shared" si="2"/>
        <v>340000</v>
      </c>
      <c r="K46" s="38">
        <f t="shared" si="3"/>
        <v>10764700</v>
      </c>
      <c r="L46" s="39" t="s">
        <v>114</v>
      </c>
      <c r="M46" s="33" t="s">
        <v>112</v>
      </c>
      <c r="N46" s="35"/>
      <c r="O46" s="34" t="s">
        <v>27</v>
      </c>
    </row>
    <row r="47" spans="1:15" customFormat="1" ht="16.5" customHeight="1" x14ac:dyDescent="0.3">
      <c r="A47" s="23">
        <v>44</v>
      </c>
      <c r="B47" s="34" t="s">
        <v>110</v>
      </c>
      <c r="C47" s="35" t="s">
        <v>36</v>
      </c>
      <c r="D47" s="35"/>
      <c r="E47" s="35" t="s">
        <v>61</v>
      </c>
      <c r="F47" s="34" t="s">
        <v>33</v>
      </c>
      <c r="G47" s="35"/>
      <c r="H47" s="37">
        <v>0.7</v>
      </c>
      <c r="I47" s="36">
        <v>17500</v>
      </c>
      <c r="J47" s="36">
        <f t="shared" si="2"/>
        <v>12250</v>
      </c>
      <c r="K47" s="38">
        <f t="shared" si="3"/>
        <v>10776950</v>
      </c>
      <c r="L47" s="39" t="s">
        <v>84</v>
      </c>
      <c r="M47" s="33" t="s">
        <v>66</v>
      </c>
      <c r="N47" s="35"/>
      <c r="O47" s="34" t="s">
        <v>27</v>
      </c>
    </row>
    <row r="48" spans="1:15" customFormat="1" ht="16.5" customHeight="1" x14ac:dyDescent="0.3">
      <c r="A48" s="23">
        <v>45</v>
      </c>
      <c r="B48" s="34" t="s">
        <v>115</v>
      </c>
      <c r="C48" s="35" t="s">
        <v>28</v>
      </c>
      <c r="D48" s="35"/>
      <c r="E48" s="35" t="s">
        <v>29</v>
      </c>
      <c r="F48" s="34" t="s">
        <v>30</v>
      </c>
      <c r="G48" s="35"/>
      <c r="H48" s="37">
        <v>2</v>
      </c>
      <c r="I48" s="36">
        <v>25000</v>
      </c>
      <c r="J48" s="36">
        <f t="shared" si="2"/>
        <v>50000</v>
      </c>
      <c r="K48" s="38">
        <f t="shared" si="3"/>
        <v>10826950</v>
      </c>
      <c r="L48" s="39"/>
      <c r="M48" s="33"/>
      <c r="N48" s="35"/>
      <c r="O48" s="34" t="s">
        <v>27</v>
      </c>
    </row>
    <row r="49" spans="1:15" customFormat="1" ht="16.5" customHeight="1" x14ac:dyDescent="0.3">
      <c r="A49" s="23">
        <v>46</v>
      </c>
      <c r="B49" s="34" t="s">
        <v>115</v>
      </c>
      <c r="C49" s="35" t="s">
        <v>42</v>
      </c>
      <c r="D49" s="35"/>
      <c r="E49" s="35" t="s">
        <v>32</v>
      </c>
      <c r="F49" s="34" t="s">
        <v>33</v>
      </c>
      <c r="G49" s="35"/>
      <c r="H49" s="37">
        <v>8</v>
      </c>
      <c r="I49" s="36">
        <v>7300</v>
      </c>
      <c r="J49" s="36">
        <f t="shared" si="2"/>
        <v>58400</v>
      </c>
      <c r="K49" s="38">
        <f t="shared" si="3"/>
        <v>10885350</v>
      </c>
      <c r="L49" s="39" t="s">
        <v>116</v>
      </c>
      <c r="M49" s="33" t="s">
        <v>117</v>
      </c>
      <c r="N49" s="35"/>
      <c r="O49" s="34" t="s">
        <v>27</v>
      </c>
    </row>
    <row r="50" spans="1:15" customFormat="1" ht="16.5" customHeight="1" x14ac:dyDescent="0.3">
      <c r="A50" s="23">
        <v>47</v>
      </c>
      <c r="B50" s="34" t="s">
        <v>115</v>
      </c>
      <c r="C50" s="35" t="s">
        <v>36</v>
      </c>
      <c r="D50" s="35"/>
      <c r="E50" s="35" t="s">
        <v>118</v>
      </c>
      <c r="F50" s="34" t="s">
        <v>33</v>
      </c>
      <c r="G50" s="35"/>
      <c r="H50" s="37">
        <v>3</v>
      </c>
      <c r="I50" s="36">
        <v>14000</v>
      </c>
      <c r="J50" s="36">
        <f t="shared" si="2"/>
        <v>42000</v>
      </c>
      <c r="K50" s="38">
        <f t="shared" si="3"/>
        <v>10927350</v>
      </c>
      <c r="L50" s="39" t="s">
        <v>119</v>
      </c>
      <c r="M50" s="33" t="s">
        <v>120</v>
      </c>
      <c r="N50" s="35"/>
      <c r="O50" s="34" t="s">
        <v>27</v>
      </c>
    </row>
    <row r="51" spans="1:15" customFormat="1" ht="16.5" customHeight="1" x14ac:dyDescent="0.3">
      <c r="A51" s="23">
        <v>48</v>
      </c>
      <c r="B51" s="34" t="s">
        <v>115</v>
      </c>
      <c r="C51" s="35" t="s">
        <v>36</v>
      </c>
      <c r="D51" s="35"/>
      <c r="E51" s="35" t="s">
        <v>81</v>
      </c>
      <c r="F51" s="34" t="s">
        <v>33</v>
      </c>
      <c r="G51" s="35"/>
      <c r="H51" s="37">
        <v>3</v>
      </c>
      <c r="I51" s="36">
        <v>7900</v>
      </c>
      <c r="J51" s="36">
        <f t="shared" si="2"/>
        <v>23700</v>
      </c>
      <c r="K51" s="38">
        <f t="shared" si="3"/>
        <v>10951050</v>
      </c>
      <c r="L51" s="39" t="s">
        <v>121</v>
      </c>
      <c r="M51" s="33" t="s">
        <v>122</v>
      </c>
      <c r="N51" s="35"/>
      <c r="O51" s="34" t="s">
        <v>27</v>
      </c>
    </row>
    <row r="52" spans="1:15" customFormat="1" ht="16.5" customHeight="1" x14ac:dyDescent="0.3">
      <c r="A52" s="23">
        <v>49</v>
      </c>
      <c r="B52" s="34" t="s">
        <v>115</v>
      </c>
      <c r="C52" s="35" t="s">
        <v>36</v>
      </c>
      <c r="D52" s="35"/>
      <c r="E52" s="35" t="s">
        <v>61</v>
      </c>
      <c r="F52" s="34" t="s">
        <v>33</v>
      </c>
      <c r="G52" s="35"/>
      <c r="H52" s="37">
        <v>5</v>
      </c>
      <c r="I52" s="36">
        <v>17500</v>
      </c>
      <c r="J52" s="36">
        <f t="shared" si="2"/>
        <v>87500</v>
      </c>
      <c r="K52" s="38">
        <f t="shared" si="3"/>
        <v>11038550</v>
      </c>
      <c r="L52" s="39" t="s">
        <v>62</v>
      </c>
      <c r="M52" s="33" t="s">
        <v>66</v>
      </c>
      <c r="N52" s="35"/>
      <c r="O52" s="34" t="s">
        <v>27</v>
      </c>
    </row>
    <row r="53" spans="1:15" customFormat="1" ht="16.5" customHeight="1" x14ac:dyDescent="0.3">
      <c r="A53" s="23">
        <v>50</v>
      </c>
      <c r="B53" s="34" t="s">
        <v>123</v>
      </c>
      <c r="C53" s="35" t="s">
        <v>28</v>
      </c>
      <c r="D53" s="35"/>
      <c r="E53" s="35" t="s">
        <v>29</v>
      </c>
      <c r="F53" s="34" t="s">
        <v>30</v>
      </c>
      <c r="G53" s="35"/>
      <c r="H53" s="37">
        <v>2</v>
      </c>
      <c r="I53" s="36">
        <v>25000</v>
      </c>
      <c r="J53" s="36">
        <f t="shared" si="2"/>
        <v>50000</v>
      </c>
      <c r="K53" s="38">
        <f t="shared" si="3"/>
        <v>11088550</v>
      </c>
      <c r="L53" s="39"/>
      <c r="M53" s="33"/>
      <c r="N53" s="35"/>
      <c r="O53" s="34" t="s">
        <v>27</v>
      </c>
    </row>
    <row r="54" spans="1:15" customFormat="1" ht="16.5" customHeight="1" x14ac:dyDescent="0.3">
      <c r="A54" s="23">
        <v>51</v>
      </c>
      <c r="B54" s="34" t="s">
        <v>123</v>
      </c>
      <c r="C54" s="35" t="s">
        <v>42</v>
      </c>
      <c r="D54" s="35"/>
      <c r="E54" s="35" t="s">
        <v>55</v>
      </c>
      <c r="F54" s="34" t="s">
        <v>33</v>
      </c>
      <c r="G54" s="35"/>
      <c r="H54" s="37">
        <v>65</v>
      </c>
      <c r="I54" s="36">
        <v>8500</v>
      </c>
      <c r="J54" s="36">
        <f t="shared" si="2"/>
        <v>552500</v>
      </c>
      <c r="K54" s="38">
        <f t="shared" si="3"/>
        <v>11641050</v>
      </c>
      <c r="L54" s="39" t="s">
        <v>124</v>
      </c>
      <c r="M54" s="33" t="s">
        <v>125</v>
      </c>
      <c r="N54" s="35"/>
      <c r="O54" s="34" t="s">
        <v>27</v>
      </c>
    </row>
    <row r="55" spans="1:15" customFormat="1" ht="16.5" customHeight="1" x14ac:dyDescent="0.3">
      <c r="A55" s="23">
        <v>52</v>
      </c>
      <c r="B55" s="34" t="s">
        <v>123</v>
      </c>
      <c r="C55" s="35" t="s">
        <v>42</v>
      </c>
      <c r="D55" s="35"/>
      <c r="E55" s="35" t="s">
        <v>126</v>
      </c>
      <c r="F55" s="34" t="s">
        <v>33</v>
      </c>
      <c r="G55" s="35"/>
      <c r="H55" s="37">
        <v>3</v>
      </c>
      <c r="I55" s="36">
        <v>28000</v>
      </c>
      <c r="J55" s="36">
        <f t="shared" si="2"/>
        <v>84000</v>
      </c>
      <c r="K55" s="38">
        <f t="shared" si="3"/>
        <v>11725050</v>
      </c>
      <c r="L55" s="39" t="s">
        <v>44</v>
      </c>
      <c r="M55" s="33" t="s">
        <v>127</v>
      </c>
      <c r="N55" s="35"/>
      <c r="O55" s="34" t="s">
        <v>27</v>
      </c>
    </row>
    <row r="56" spans="1:15" customFormat="1" ht="16.5" customHeight="1" x14ac:dyDescent="0.3">
      <c r="A56" s="23">
        <v>53</v>
      </c>
      <c r="B56" s="34" t="s">
        <v>123</v>
      </c>
      <c r="C56" s="35" t="s">
        <v>36</v>
      </c>
      <c r="D56" s="35"/>
      <c r="E56" s="35" t="s">
        <v>43</v>
      </c>
      <c r="F56" s="34" t="s">
        <v>33</v>
      </c>
      <c r="G56" s="35"/>
      <c r="H56" s="37">
        <v>1</v>
      </c>
      <c r="I56" s="36">
        <v>28000</v>
      </c>
      <c r="J56" s="36">
        <f t="shared" si="2"/>
        <v>28000</v>
      </c>
      <c r="K56" s="38">
        <f t="shared" si="3"/>
        <v>11753050</v>
      </c>
      <c r="L56" s="39" t="s">
        <v>46</v>
      </c>
      <c r="M56" s="33" t="s">
        <v>127</v>
      </c>
      <c r="N56" s="35"/>
      <c r="O56" s="34" t="s">
        <v>27</v>
      </c>
    </row>
    <row r="57" spans="1:15" customFormat="1" ht="16.5" customHeight="1" x14ac:dyDescent="0.3">
      <c r="A57" s="23">
        <v>54</v>
      </c>
      <c r="B57" s="34" t="s">
        <v>128</v>
      </c>
      <c r="C57" s="35" t="s">
        <v>28</v>
      </c>
      <c r="D57" s="35"/>
      <c r="E57" s="35" t="s">
        <v>29</v>
      </c>
      <c r="F57" s="34" t="s">
        <v>30</v>
      </c>
      <c r="G57" s="35"/>
      <c r="H57" s="37">
        <v>3</v>
      </c>
      <c r="I57" s="36">
        <v>25000</v>
      </c>
      <c r="J57" s="36">
        <f t="shared" si="2"/>
        <v>75000</v>
      </c>
      <c r="K57" s="38">
        <f t="shared" si="3"/>
        <v>11828050</v>
      </c>
      <c r="L57" s="39"/>
      <c r="M57" s="33"/>
      <c r="N57" s="35"/>
      <c r="O57" s="34" t="s">
        <v>27</v>
      </c>
    </row>
    <row r="58" spans="1:15" customFormat="1" ht="16.5" customHeight="1" x14ac:dyDescent="0.3">
      <c r="A58" s="23">
        <v>55</v>
      </c>
      <c r="B58" s="34" t="s">
        <v>128</v>
      </c>
      <c r="C58" s="35" t="s">
        <v>42</v>
      </c>
      <c r="D58" s="35"/>
      <c r="E58" s="35" t="s">
        <v>32</v>
      </c>
      <c r="F58" s="34" t="s">
        <v>33</v>
      </c>
      <c r="G58" s="35"/>
      <c r="H58" s="37">
        <v>35</v>
      </c>
      <c r="I58" s="36">
        <v>7300</v>
      </c>
      <c r="J58" s="36">
        <f t="shared" si="2"/>
        <v>255500</v>
      </c>
      <c r="K58" s="38">
        <f t="shared" si="3"/>
        <v>12083550</v>
      </c>
      <c r="L58" s="39" t="s">
        <v>86</v>
      </c>
      <c r="M58" s="33" t="s">
        <v>117</v>
      </c>
      <c r="N58" s="35"/>
      <c r="O58" s="34" t="s">
        <v>27</v>
      </c>
    </row>
    <row r="59" spans="1:15" customFormat="1" ht="16.5" customHeight="1" x14ac:dyDescent="0.3">
      <c r="A59" s="23">
        <v>56</v>
      </c>
      <c r="B59" s="34" t="s">
        <v>128</v>
      </c>
      <c r="C59" s="35" t="s">
        <v>42</v>
      </c>
      <c r="D59" s="35"/>
      <c r="E59" s="35" t="s">
        <v>32</v>
      </c>
      <c r="F59" s="34" t="s">
        <v>33</v>
      </c>
      <c r="G59" s="35"/>
      <c r="H59" s="37">
        <v>2</v>
      </c>
      <c r="I59" s="36">
        <v>7300</v>
      </c>
      <c r="J59" s="36">
        <f t="shared" si="2"/>
        <v>14600</v>
      </c>
      <c r="K59" s="38">
        <f t="shared" si="3"/>
        <v>12098150</v>
      </c>
      <c r="L59" s="39" t="s">
        <v>84</v>
      </c>
      <c r="M59" s="33" t="s">
        <v>117</v>
      </c>
      <c r="N59" s="35"/>
      <c r="O59" s="34" t="s">
        <v>27</v>
      </c>
    </row>
    <row r="60" spans="1:15" customFormat="1" ht="16.5" customHeight="1" x14ac:dyDescent="0.3">
      <c r="A60" s="23">
        <v>57</v>
      </c>
      <c r="B60" s="34" t="s">
        <v>128</v>
      </c>
      <c r="C60" s="35" t="s">
        <v>31</v>
      </c>
      <c r="D60" s="35"/>
      <c r="E60" s="35" t="s">
        <v>55</v>
      </c>
      <c r="F60" s="34" t="s">
        <v>33</v>
      </c>
      <c r="G60" s="35"/>
      <c r="H60" s="37">
        <v>4</v>
      </c>
      <c r="I60" s="36">
        <v>8500</v>
      </c>
      <c r="J60" s="36">
        <f t="shared" si="2"/>
        <v>34000</v>
      </c>
      <c r="K60" s="38">
        <f t="shared" si="3"/>
        <v>12132150</v>
      </c>
      <c r="L60" s="39" t="s">
        <v>129</v>
      </c>
      <c r="M60" s="33" t="s">
        <v>130</v>
      </c>
      <c r="N60" s="35"/>
      <c r="O60" s="34" t="s">
        <v>27</v>
      </c>
    </row>
    <row r="61" spans="1:15" customFormat="1" ht="16.5" customHeight="1" x14ac:dyDescent="0.3">
      <c r="A61" s="23">
        <v>58</v>
      </c>
      <c r="B61" s="34" t="s">
        <v>128</v>
      </c>
      <c r="C61" s="35" t="s">
        <v>36</v>
      </c>
      <c r="D61" s="35"/>
      <c r="E61" s="35" t="s">
        <v>118</v>
      </c>
      <c r="F61" s="34" t="s">
        <v>33</v>
      </c>
      <c r="G61" s="35"/>
      <c r="H61" s="37">
        <v>4</v>
      </c>
      <c r="I61" s="36">
        <v>14000</v>
      </c>
      <c r="J61" s="36">
        <f t="shared" si="2"/>
        <v>56000</v>
      </c>
      <c r="K61" s="38">
        <f t="shared" si="3"/>
        <v>12188150</v>
      </c>
      <c r="L61" s="39" t="s">
        <v>131</v>
      </c>
      <c r="M61" s="33" t="s">
        <v>66</v>
      </c>
      <c r="N61" s="35"/>
      <c r="O61" s="34" t="s">
        <v>27</v>
      </c>
    </row>
    <row r="62" spans="1:15" customFormat="1" ht="16.5" customHeight="1" x14ac:dyDescent="0.3">
      <c r="A62" s="23">
        <v>59</v>
      </c>
      <c r="B62" s="34" t="s">
        <v>128</v>
      </c>
      <c r="C62" s="35" t="s">
        <v>36</v>
      </c>
      <c r="D62" s="35"/>
      <c r="E62" s="35" t="s">
        <v>61</v>
      </c>
      <c r="F62" s="34" t="s">
        <v>33</v>
      </c>
      <c r="G62" s="35"/>
      <c r="H62" s="37">
        <v>1</v>
      </c>
      <c r="I62" s="36">
        <v>17500</v>
      </c>
      <c r="J62" s="36">
        <f t="shared" si="2"/>
        <v>17500</v>
      </c>
      <c r="K62" s="38">
        <f t="shared" si="3"/>
        <v>12205650</v>
      </c>
      <c r="L62" s="39" t="s">
        <v>84</v>
      </c>
      <c r="M62" s="33" t="s">
        <v>66</v>
      </c>
      <c r="N62" s="35"/>
      <c r="O62" s="34" t="s">
        <v>27</v>
      </c>
    </row>
    <row r="63" spans="1:15" customFormat="1" ht="16.5" customHeight="1" x14ac:dyDescent="0.3">
      <c r="A63" s="23">
        <v>60</v>
      </c>
      <c r="B63" s="34" t="s">
        <v>128</v>
      </c>
      <c r="C63" s="35" t="s">
        <v>36</v>
      </c>
      <c r="D63" s="35"/>
      <c r="E63" s="35" t="s">
        <v>55</v>
      </c>
      <c r="F63" s="34" t="s">
        <v>33</v>
      </c>
      <c r="G63" s="35"/>
      <c r="H63" s="37">
        <v>4</v>
      </c>
      <c r="I63" s="36">
        <v>8500</v>
      </c>
      <c r="J63" s="36">
        <f t="shared" si="2"/>
        <v>34000</v>
      </c>
      <c r="K63" s="38">
        <f t="shared" si="3"/>
        <v>12239650</v>
      </c>
      <c r="L63" s="39" t="s">
        <v>132</v>
      </c>
      <c r="M63" s="33" t="s">
        <v>125</v>
      </c>
      <c r="N63" s="35"/>
      <c r="O63" s="34" t="s">
        <v>27</v>
      </c>
    </row>
    <row r="64" spans="1:15" customFormat="1" ht="16.5" customHeight="1" x14ac:dyDescent="0.3">
      <c r="A64" s="23">
        <v>61</v>
      </c>
      <c r="B64" s="34" t="s">
        <v>133</v>
      </c>
      <c r="C64" s="35" t="s">
        <v>28</v>
      </c>
      <c r="D64" s="35"/>
      <c r="E64" s="35" t="s">
        <v>29</v>
      </c>
      <c r="F64" s="34" t="s">
        <v>30</v>
      </c>
      <c r="G64" s="35"/>
      <c r="H64" s="37">
        <v>1</v>
      </c>
      <c r="I64" s="36">
        <v>25000</v>
      </c>
      <c r="J64" s="36">
        <f t="shared" si="2"/>
        <v>25000</v>
      </c>
      <c r="K64" s="38">
        <f t="shared" si="3"/>
        <v>12264650</v>
      </c>
      <c r="L64" s="39"/>
      <c r="M64" s="33"/>
      <c r="N64" s="35"/>
      <c r="O64" s="34" t="s">
        <v>27</v>
      </c>
    </row>
    <row r="65" spans="1:15" customFormat="1" ht="16.5" customHeight="1" x14ac:dyDescent="0.3">
      <c r="A65" s="23">
        <v>62</v>
      </c>
      <c r="B65" s="34" t="s">
        <v>133</v>
      </c>
      <c r="C65" s="35" t="s">
        <v>48</v>
      </c>
      <c r="D65" s="35"/>
      <c r="E65" s="35" t="s">
        <v>49</v>
      </c>
      <c r="F65" s="34" t="s">
        <v>33</v>
      </c>
      <c r="G65" s="35" t="s">
        <v>50</v>
      </c>
      <c r="H65" s="37">
        <v>74</v>
      </c>
      <c r="I65" s="36">
        <v>10900</v>
      </c>
      <c r="J65" s="36">
        <f t="shared" si="2"/>
        <v>806600</v>
      </c>
      <c r="K65" s="38">
        <f t="shared" si="3"/>
        <v>13071250</v>
      </c>
      <c r="L65" s="39" t="s">
        <v>51</v>
      </c>
      <c r="M65" s="33" t="s">
        <v>134</v>
      </c>
      <c r="N65" s="35" t="s">
        <v>135</v>
      </c>
      <c r="O65" s="34" t="s">
        <v>27</v>
      </c>
    </row>
    <row r="66" spans="1:15" customFormat="1" ht="16.5" customHeight="1" x14ac:dyDescent="0.3">
      <c r="A66" s="23">
        <v>63</v>
      </c>
      <c r="B66" s="34" t="s">
        <v>136</v>
      </c>
      <c r="C66" s="35" t="s">
        <v>28</v>
      </c>
      <c r="D66" s="35"/>
      <c r="E66" s="35" t="s">
        <v>29</v>
      </c>
      <c r="F66" s="34" t="s">
        <v>30</v>
      </c>
      <c r="G66" s="35"/>
      <c r="H66" s="37">
        <v>3</v>
      </c>
      <c r="I66" s="36">
        <v>25000</v>
      </c>
      <c r="J66" s="36">
        <f t="shared" si="2"/>
        <v>75000</v>
      </c>
      <c r="K66" s="38">
        <f t="shared" si="3"/>
        <v>13146250</v>
      </c>
      <c r="L66" s="39"/>
      <c r="M66" s="33"/>
      <c r="N66" s="35"/>
      <c r="O66" s="34" t="s">
        <v>27</v>
      </c>
    </row>
    <row r="67" spans="1:15" customFormat="1" ht="16.5" customHeight="1" x14ac:dyDescent="0.3">
      <c r="A67" s="23">
        <v>64</v>
      </c>
      <c r="B67" s="34" t="s">
        <v>136</v>
      </c>
      <c r="C67" s="35" t="s">
        <v>48</v>
      </c>
      <c r="D67" s="35"/>
      <c r="E67" s="35" t="s">
        <v>37</v>
      </c>
      <c r="F67" s="34" t="s">
        <v>33</v>
      </c>
      <c r="G67" s="35" t="s">
        <v>99</v>
      </c>
      <c r="H67" s="37">
        <v>90</v>
      </c>
      <c r="I67" s="36">
        <v>10800</v>
      </c>
      <c r="J67" s="36">
        <f t="shared" si="2"/>
        <v>972000</v>
      </c>
      <c r="K67" s="38">
        <f t="shared" si="3"/>
        <v>14118250</v>
      </c>
      <c r="L67" s="39" t="s">
        <v>137</v>
      </c>
      <c r="M67" s="33" t="s">
        <v>138</v>
      </c>
      <c r="N67" s="35" t="s">
        <v>40</v>
      </c>
      <c r="O67" s="34" t="s">
        <v>27</v>
      </c>
    </row>
    <row r="68" spans="1:15" customFormat="1" ht="16.5" customHeight="1" x14ac:dyDescent="0.3">
      <c r="A68" s="23">
        <v>65</v>
      </c>
      <c r="B68" s="34" t="s">
        <v>136</v>
      </c>
      <c r="C68" s="35" t="s">
        <v>42</v>
      </c>
      <c r="D68" s="35"/>
      <c r="E68" s="35" t="s">
        <v>32</v>
      </c>
      <c r="F68" s="34" t="s">
        <v>33</v>
      </c>
      <c r="G68" s="35"/>
      <c r="H68" s="37">
        <v>5</v>
      </c>
      <c r="I68" s="36">
        <v>7300</v>
      </c>
      <c r="J68" s="36">
        <f t="shared" ref="J68:J90" si="4">H68*I68</f>
        <v>36500</v>
      </c>
      <c r="K68" s="38">
        <f t="shared" si="3"/>
        <v>14154750</v>
      </c>
      <c r="L68" s="39" t="s">
        <v>139</v>
      </c>
      <c r="M68" s="33" t="s">
        <v>125</v>
      </c>
      <c r="N68" s="35"/>
      <c r="O68" s="34" t="s">
        <v>27</v>
      </c>
    </row>
    <row r="69" spans="1:15" customFormat="1" ht="16.5" customHeight="1" x14ac:dyDescent="0.3">
      <c r="A69" s="23">
        <v>66</v>
      </c>
      <c r="B69" s="34" t="s">
        <v>136</v>
      </c>
      <c r="C69" s="35" t="s">
        <v>31</v>
      </c>
      <c r="D69" s="35"/>
      <c r="E69" s="35" t="s">
        <v>78</v>
      </c>
      <c r="F69" s="34" t="s">
        <v>33</v>
      </c>
      <c r="G69" s="35"/>
      <c r="H69" s="37">
        <v>110</v>
      </c>
      <c r="I69" s="36">
        <v>8800</v>
      </c>
      <c r="J69" s="36">
        <f t="shared" si="4"/>
        <v>968000</v>
      </c>
      <c r="K69" s="38">
        <f t="shared" ref="K69:K90" si="5">K68+J69</f>
        <v>15122750</v>
      </c>
      <c r="L69" s="39" t="s">
        <v>140</v>
      </c>
      <c r="M69" s="33" t="s">
        <v>141</v>
      </c>
      <c r="N69" s="35"/>
      <c r="O69" s="34" t="s">
        <v>27</v>
      </c>
    </row>
    <row r="70" spans="1:15" customFormat="1" ht="16.5" customHeight="1" x14ac:dyDescent="0.3">
      <c r="A70" s="23">
        <v>67</v>
      </c>
      <c r="B70" s="34" t="s">
        <v>136</v>
      </c>
      <c r="C70" s="35" t="s">
        <v>31</v>
      </c>
      <c r="D70" s="35"/>
      <c r="E70" s="35" t="s">
        <v>90</v>
      </c>
      <c r="F70" s="34" t="s">
        <v>33</v>
      </c>
      <c r="G70" s="35"/>
      <c r="H70" s="37">
        <v>10</v>
      </c>
      <c r="I70" s="36">
        <v>28000</v>
      </c>
      <c r="J70" s="36">
        <f t="shared" si="4"/>
        <v>280000</v>
      </c>
      <c r="K70" s="38">
        <f t="shared" si="5"/>
        <v>15402750</v>
      </c>
      <c r="L70" s="39" t="s">
        <v>91</v>
      </c>
      <c r="M70" s="33" t="s">
        <v>142</v>
      </c>
      <c r="N70" s="35"/>
      <c r="O70" s="34" t="s">
        <v>27</v>
      </c>
    </row>
    <row r="71" spans="1:15" customFormat="1" ht="16.5" customHeight="1" x14ac:dyDescent="0.3">
      <c r="A71" s="23">
        <v>68</v>
      </c>
      <c r="B71" s="34" t="s">
        <v>143</v>
      </c>
      <c r="C71" s="35" t="s">
        <v>28</v>
      </c>
      <c r="D71" s="35"/>
      <c r="E71" s="35" t="s">
        <v>29</v>
      </c>
      <c r="F71" s="34" t="s">
        <v>30</v>
      </c>
      <c r="G71" s="35"/>
      <c r="H71" s="37">
        <v>1</v>
      </c>
      <c r="I71" s="36">
        <v>25000</v>
      </c>
      <c r="J71" s="36">
        <f t="shared" si="4"/>
        <v>25000</v>
      </c>
      <c r="K71" s="38">
        <f t="shared" si="5"/>
        <v>15427750</v>
      </c>
      <c r="L71" s="39"/>
      <c r="M71" s="33"/>
      <c r="N71" s="35"/>
      <c r="O71" s="34" t="s">
        <v>27</v>
      </c>
    </row>
    <row r="72" spans="1:15" customFormat="1" ht="16.5" customHeight="1" x14ac:dyDescent="0.3">
      <c r="A72" s="23">
        <v>69</v>
      </c>
      <c r="B72" s="48" t="s">
        <v>143</v>
      </c>
      <c r="C72" s="49" t="s">
        <v>42</v>
      </c>
      <c r="D72" s="49"/>
      <c r="E72" s="49" t="s">
        <v>87</v>
      </c>
      <c r="F72" s="48" t="s">
        <v>33</v>
      </c>
      <c r="G72" s="49"/>
      <c r="H72" s="50">
        <v>18</v>
      </c>
      <c r="I72" s="51">
        <v>24400</v>
      </c>
      <c r="J72" s="51">
        <f t="shared" si="4"/>
        <v>439200</v>
      </c>
      <c r="K72" s="52">
        <f t="shared" si="5"/>
        <v>15866950</v>
      </c>
      <c r="L72" s="53" t="s">
        <v>144</v>
      </c>
      <c r="M72" s="54" t="s">
        <v>89</v>
      </c>
      <c r="N72" s="35"/>
      <c r="O72" s="34" t="s">
        <v>27</v>
      </c>
    </row>
    <row r="73" spans="1:15" customFormat="1" ht="16.5" customHeight="1" x14ac:dyDescent="0.3">
      <c r="A73" s="23">
        <v>70</v>
      </c>
      <c r="B73" s="34" t="s">
        <v>143</v>
      </c>
      <c r="C73" s="35" t="s">
        <v>42</v>
      </c>
      <c r="D73" s="35" t="s">
        <v>145</v>
      </c>
      <c r="E73" s="35" t="s">
        <v>146</v>
      </c>
      <c r="F73" s="34" t="s">
        <v>33</v>
      </c>
      <c r="G73" s="35"/>
      <c r="H73" s="37">
        <v>5</v>
      </c>
      <c r="I73" s="36">
        <v>5500</v>
      </c>
      <c r="J73" s="36">
        <f t="shared" si="4"/>
        <v>27500</v>
      </c>
      <c r="K73" s="38">
        <f t="shared" si="5"/>
        <v>15894450</v>
      </c>
      <c r="L73" s="39" t="s">
        <v>147</v>
      </c>
      <c r="M73" s="33" t="s">
        <v>148</v>
      </c>
      <c r="N73" s="35"/>
      <c r="O73" s="34" t="s">
        <v>27</v>
      </c>
    </row>
    <row r="74" spans="1:15" customFormat="1" ht="16.5" customHeight="1" x14ac:dyDescent="0.3">
      <c r="A74" s="23">
        <v>71</v>
      </c>
      <c r="B74" s="34" t="s">
        <v>143</v>
      </c>
      <c r="C74" s="35" t="s">
        <v>42</v>
      </c>
      <c r="D74" s="35" t="s">
        <v>145</v>
      </c>
      <c r="E74" s="35" t="s">
        <v>67</v>
      </c>
      <c r="F74" s="34" t="s">
        <v>33</v>
      </c>
      <c r="G74" s="35"/>
      <c r="H74" s="37">
        <v>8</v>
      </c>
      <c r="I74" s="36">
        <v>3800</v>
      </c>
      <c r="J74" s="36">
        <f t="shared" si="4"/>
        <v>30400</v>
      </c>
      <c r="K74" s="38">
        <f t="shared" si="5"/>
        <v>15924850</v>
      </c>
      <c r="L74" s="39" t="s">
        <v>75</v>
      </c>
      <c r="M74" s="33" t="s">
        <v>69</v>
      </c>
      <c r="N74" s="35"/>
      <c r="O74" s="34" t="s">
        <v>27</v>
      </c>
    </row>
    <row r="75" spans="1:15" customFormat="1" ht="16.5" customHeight="1" x14ac:dyDescent="0.3">
      <c r="A75" s="23">
        <v>72</v>
      </c>
      <c r="B75" s="34" t="s">
        <v>143</v>
      </c>
      <c r="C75" s="35" t="s">
        <v>42</v>
      </c>
      <c r="D75" s="35" t="s">
        <v>145</v>
      </c>
      <c r="E75" s="35" t="s">
        <v>149</v>
      </c>
      <c r="F75" s="34" t="s">
        <v>33</v>
      </c>
      <c r="G75" s="35"/>
      <c r="H75" s="37">
        <v>4</v>
      </c>
      <c r="I75" s="36">
        <v>1800</v>
      </c>
      <c r="J75" s="36">
        <f t="shared" si="4"/>
        <v>7200</v>
      </c>
      <c r="K75" s="38">
        <f t="shared" si="5"/>
        <v>15932050</v>
      </c>
      <c r="L75" s="39" t="s">
        <v>75</v>
      </c>
      <c r="M75" s="33" t="s">
        <v>69</v>
      </c>
      <c r="N75" s="35"/>
      <c r="O75" s="34" t="s">
        <v>27</v>
      </c>
    </row>
    <row r="76" spans="1:15" customFormat="1" ht="16.5" customHeight="1" x14ac:dyDescent="0.3">
      <c r="A76" s="23">
        <v>73</v>
      </c>
      <c r="B76" s="34" t="s">
        <v>150</v>
      </c>
      <c r="C76" s="35" t="s">
        <v>28</v>
      </c>
      <c r="D76" s="35"/>
      <c r="E76" s="35" t="s">
        <v>29</v>
      </c>
      <c r="F76" s="34" t="s">
        <v>30</v>
      </c>
      <c r="G76" s="35"/>
      <c r="H76" s="37">
        <v>2</v>
      </c>
      <c r="I76" s="36">
        <v>25000</v>
      </c>
      <c r="J76" s="36">
        <f t="shared" si="4"/>
        <v>50000</v>
      </c>
      <c r="K76" s="38">
        <f t="shared" si="5"/>
        <v>15982050</v>
      </c>
      <c r="L76" s="39"/>
      <c r="M76" s="33"/>
      <c r="N76" s="35"/>
      <c r="O76" s="34" t="s">
        <v>27</v>
      </c>
    </row>
    <row r="77" spans="1:15" customFormat="1" ht="16.5" customHeight="1" x14ac:dyDescent="0.3">
      <c r="A77" s="23">
        <v>74</v>
      </c>
      <c r="B77" s="34" t="s">
        <v>150</v>
      </c>
      <c r="C77" s="35" t="s">
        <v>42</v>
      </c>
      <c r="D77" s="35"/>
      <c r="E77" s="35" t="s">
        <v>55</v>
      </c>
      <c r="F77" s="34" t="s">
        <v>33</v>
      </c>
      <c r="G77" s="35"/>
      <c r="H77" s="37">
        <v>46</v>
      </c>
      <c r="I77" s="36">
        <v>8500</v>
      </c>
      <c r="J77" s="36">
        <f t="shared" si="4"/>
        <v>391000</v>
      </c>
      <c r="K77" s="38">
        <f t="shared" si="5"/>
        <v>16373050</v>
      </c>
      <c r="L77" s="39" t="s">
        <v>124</v>
      </c>
      <c r="M77" s="33" t="s">
        <v>151</v>
      </c>
      <c r="N77" s="35"/>
      <c r="O77" s="34" t="s">
        <v>27</v>
      </c>
    </row>
    <row r="78" spans="1:15" customFormat="1" ht="16.5" customHeight="1" x14ac:dyDescent="0.3">
      <c r="A78" s="23">
        <v>75</v>
      </c>
      <c r="B78" s="34" t="s">
        <v>150</v>
      </c>
      <c r="C78" s="35" t="s">
        <v>36</v>
      </c>
      <c r="D78" s="35"/>
      <c r="E78" s="35" t="s">
        <v>43</v>
      </c>
      <c r="F78" s="34" t="s">
        <v>33</v>
      </c>
      <c r="G78" s="35"/>
      <c r="H78" s="37">
        <v>1.2</v>
      </c>
      <c r="I78" s="36">
        <v>28000</v>
      </c>
      <c r="J78" s="36">
        <f t="shared" si="4"/>
        <v>33600</v>
      </c>
      <c r="K78" s="38">
        <f t="shared" si="5"/>
        <v>16406650</v>
      </c>
      <c r="L78" s="39" t="s">
        <v>46</v>
      </c>
      <c r="M78" s="33" t="s">
        <v>127</v>
      </c>
      <c r="N78" s="35"/>
      <c r="O78" s="34" t="s">
        <v>27</v>
      </c>
    </row>
    <row r="79" spans="1:15" customFormat="1" ht="16.5" customHeight="1" x14ac:dyDescent="0.3">
      <c r="A79" s="23">
        <v>76</v>
      </c>
      <c r="B79" s="34" t="s">
        <v>150</v>
      </c>
      <c r="C79" s="35" t="s">
        <v>36</v>
      </c>
      <c r="D79" s="35"/>
      <c r="E79" s="35" t="s">
        <v>152</v>
      </c>
      <c r="F79" s="34" t="s">
        <v>33</v>
      </c>
      <c r="G79" s="35"/>
      <c r="H79" s="37">
        <v>6</v>
      </c>
      <c r="I79" s="36">
        <v>6000</v>
      </c>
      <c r="J79" s="36">
        <f t="shared" si="4"/>
        <v>36000</v>
      </c>
      <c r="K79" s="38">
        <f t="shared" si="5"/>
        <v>16442650</v>
      </c>
      <c r="L79" s="39" t="s">
        <v>153</v>
      </c>
      <c r="M79" s="33" t="s">
        <v>127</v>
      </c>
      <c r="N79" s="35"/>
      <c r="O79" s="34" t="s">
        <v>27</v>
      </c>
    </row>
    <row r="80" spans="1:15" customFormat="1" ht="16.5" customHeight="1" x14ac:dyDescent="0.3">
      <c r="A80" s="23">
        <v>77</v>
      </c>
      <c r="B80" s="34" t="s">
        <v>150</v>
      </c>
      <c r="C80" s="35" t="s">
        <v>36</v>
      </c>
      <c r="D80" s="35"/>
      <c r="E80" s="35" t="s">
        <v>154</v>
      </c>
      <c r="F80" s="34" t="s">
        <v>33</v>
      </c>
      <c r="G80" s="35"/>
      <c r="H80" s="37">
        <v>2</v>
      </c>
      <c r="I80" s="36">
        <v>5000</v>
      </c>
      <c r="J80" s="36">
        <f t="shared" si="4"/>
        <v>10000</v>
      </c>
      <c r="K80" s="38">
        <f t="shared" si="5"/>
        <v>16452650</v>
      </c>
      <c r="L80" s="39" t="s">
        <v>155</v>
      </c>
      <c r="M80" s="33" t="s">
        <v>127</v>
      </c>
      <c r="N80" s="35"/>
      <c r="O80" s="34" t="s">
        <v>27</v>
      </c>
    </row>
    <row r="81" spans="1:15" customFormat="1" ht="16.5" customHeight="1" x14ac:dyDescent="0.3">
      <c r="A81" s="23">
        <v>78</v>
      </c>
      <c r="B81" s="34" t="s">
        <v>156</v>
      </c>
      <c r="C81" s="35" t="s">
        <v>28</v>
      </c>
      <c r="D81" s="35"/>
      <c r="E81" s="35" t="s">
        <v>29</v>
      </c>
      <c r="F81" s="34" t="s">
        <v>30</v>
      </c>
      <c r="G81" s="35"/>
      <c r="H81" s="37">
        <v>2</v>
      </c>
      <c r="I81" s="36">
        <v>25000</v>
      </c>
      <c r="J81" s="36">
        <f t="shared" si="4"/>
        <v>50000</v>
      </c>
      <c r="K81" s="38">
        <f t="shared" si="5"/>
        <v>16502650</v>
      </c>
      <c r="L81" s="39"/>
      <c r="M81" s="33"/>
      <c r="N81" s="35"/>
      <c r="O81" s="34" t="s">
        <v>27</v>
      </c>
    </row>
    <row r="82" spans="1:15" customFormat="1" ht="16.5" customHeight="1" x14ac:dyDescent="0.3">
      <c r="A82" s="23">
        <v>79</v>
      </c>
      <c r="B82" s="34" t="s">
        <v>156</v>
      </c>
      <c r="C82" s="35" t="s">
        <v>48</v>
      </c>
      <c r="D82" s="35"/>
      <c r="E82" s="35" t="s">
        <v>157</v>
      </c>
      <c r="F82" s="34" t="s">
        <v>33</v>
      </c>
      <c r="G82" s="35"/>
      <c r="H82" s="37">
        <v>9</v>
      </c>
      <c r="I82" s="36">
        <v>4500</v>
      </c>
      <c r="J82" s="36">
        <f t="shared" si="4"/>
        <v>40500</v>
      </c>
      <c r="K82" s="38">
        <f t="shared" si="5"/>
        <v>16543150</v>
      </c>
      <c r="L82" s="39" t="s">
        <v>158</v>
      </c>
      <c r="M82" s="33"/>
      <c r="N82" s="35" t="s">
        <v>40</v>
      </c>
      <c r="O82" s="34" t="s">
        <v>27</v>
      </c>
    </row>
    <row r="83" spans="1:15" customFormat="1" ht="16.5" customHeight="1" x14ac:dyDescent="0.3">
      <c r="A83" s="23">
        <v>80</v>
      </c>
      <c r="B83" s="34" t="s">
        <v>156</v>
      </c>
      <c r="C83" s="35" t="s">
        <v>42</v>
      </c>
      <c r="D83" s="35"/>
      <c r="E83" s="35" t="s">
        <v>32</v>
      </c>
      <c r="F83" s="34" t="s">
        <v>33</v>
      </c>
      <c r="G83" s="35"/>
      <c r="H83" s="37">
        <v>4</v>
      </c>
      <c r="I83" s="36">
        <v>7300</v>
      </c>
      <c r="J83" s="36">
        <f t="shared" si="4"/>
        <v>29200</v>
      </c>
      <c r="K83" s="38">
        <f t="shared" si="5"/>
        <v>16572350</v>
      </c>
      <c r="L83" s="39" t="s">
        <v>46</v>
      </c>
      <c r="M83" s="33" t="s">
        <v>151</v>
      </c>
      <c r="N83" s="35"/>
      <c r="O83" s="34" t="s">
        <v>27</v>
      </c>
    </row>
    <row r="84" spans="1:15" customFormat="1" ht="16.5" customHeight="1" x14ac:dyDescent="0.3">
      <c r="A84" s="23">
        <v>81</v>
      </c>
      <c r="B84" s="34" t="s">
        <v>156</v>
      </c>
      <c r="C84" s="35" t="s">
        <v>42</v>
      </c>
      <c r="D84" s="35"/>
      <c r="E84" s="35" t="s">
        <v>32</v>
      </c>
      <c r="F84" s="34" t="s">
        <v>33</v>
      </c>
      <c r="G84" s="35"/>
      <c r="H84" s="37">
        <v>9</v>
      </c>
      <c r="I84" s="36">
        <v>7300</v>
      </c>
      <c r="J84" s="36">
        <f t="shared" si="4"/>
        <v>65700</v>
      </c>
      <c r="K84" s="38">
        <f t="shared" si="5"/>
        <v>16638050</v>
      </c>
      <c r="L84" s="39" t="s">
        <v>86</v>
      </c>
      <c r="M84" s="33" t="s">
        <v>151</v>
      </c>
      <c r="N84" s="35"/>
      <c r="O84" s="34" t="s">
        <v>27</v>
      </c>
    </row>
    <row r="85" spans="1:15" customFormat="1" ht="16.5" customHeight="1" x14ac:dyDescent="0.3">
      <c r="A85" s="23">
        <v>82</v>
      </c>
      <c r="B85" s="34" t="s">
        <v>156</v>
      </c>
      <c r="C85" s="35" t="s">
        <v>42</v>
      </c>
      <c r="D85" s="35"/>
      <c r="E85" s="35" t="s">
        <v>32</v>
      </c>
      <c r="F85" s="34" t="s">
        <v>33</v>
      </c>
      <c r="G85" s="35"/>
      <c r="H85" s="37">
        <v>6</v>
      </c>
      <c r="I85" s="36">
        <v>7300</v>
      </c>
      <c r="J85" s="36">
        <f t="shared" si="4"/>
        <v>43800</v>
      </c>
      <c r="K85" s="38">
        <f t="shared" si="5"/>
        <v>16681850</v>
      </c>
      <c r="L85" s="39" t="s">
        <v>139</v>
      </c>
      <c r="M85" s="33" t="s">
        <v>151</v>
      </c>
      <c r="N85" s="35"/>
      <c r="O85" s="34" t="s">
        <v>27</v>
      </c>
    </row>
    <row r="86" spans="1:15" customFormat="1" ht="16.5" customHeight="1" x14ac:dyDescent="0.3">
      <c r="A86" s="23">
        <v>83</v>
      </c>
      <c r="B86" s="34" t="s">
        <v>159</v>
      </c>
      <c r="C86" s="35" t="s">
        <v>28</v>
      </c>
      <c r="D86" s="35"/>
      <c r="E86" s="35" t="s">
        <v>29</v>
      </c>
      <c r="F86" s="34" t="s">
        <v>30</v>
      </c>
      <c r="G86" s="35"/>
      <c r="H86" s="37">
        <v>2</v>
      </c>
      <c r="I86" s="36">
        <v>25000</v>
      </c>
      <c r="J86" s="36">
        <f t="shared" si="4"/>
        <v>50000</v>
      </c>
      <c r="K86" s="38">
        <f t="shared" si="5"/>
        <v>16731850</v>
      </c>
      <c r="L86" s="39"/>
      <c r="M86" s="33"/>
      <c r="N86" s="35"/>
      <c r="O86" s="34" t="s">
        <v>27</v>
      </c>
    </row>
    <row r="87" spans="1:15" customFormat="1" ht="16.5" customHeight="1" x14ac:dyDescent="0.3">
      <c r="A87" s="23">
        <v>84</v>
      </c>
      <c r="B87" s="34" t="s">
        <v>159</v>
      </c>
      <c r="C87" s="35" t="s">
        <v>42</v>
      </c>
      <c r="D87" s="35"/>
      <c r="E87" s="35" t="s">
        <v>32</v>
      </c>
      <c r="F87" s="34" t="s">
        <v>33</v>
      </c>
      <c r="G87" s="35"/>
      <c r="H87" s="37">
        <v>6</v>
      </c>
      <c r="I87" s="36">
        <v>7300</v>
      </c>
      <c r="J87" s="36">
        <f t="shared" si="4"/>
        <v>43800</v>
      </c>
      <c r="K87" s="38">
        <f t="shared" si="5"/>
        <v>16775650</v>
      </c>
      <c r="L87" s="39" t="s">
        <v>46</v>
      </c>
      <c r="M87" s="33" t="s">
        <v>151</v>
      </c>
      <c r="N87" s="35"/>
      <c r="O87" s="34" t="s">
        <v>27</v>
      </c>
    </row>
    <row r="88" spans="1:15" customFormat="1" ht="16.5" customHeight="1" x14ac:dyDescent="0.3">
      <c r="A88" s="23">
        <v>85</v>
      </c>
      <c r="B88" s="34" t="s">
        <v>159</v>
      </c>
      <c r="C88" s="35" t="s">
        <v>42</v>
      </c>
      <c r="D88" s="35"/>
      <c r="E88" s="35" t="s">
        <v>32</v>
      </c>
      <c r="F88" s="34" t="s">
        <v>33</v>
      </c>
      <c r="G88" s="35"/>
      <c r="H88" s="37">
        <v>28</v>
      </c>
      <c r="I88" s="36">
        <v>7300</v>
      </c>
      <c r="J88" s="36">
        <f t="shared" si="4"/>
        <v>204400</v>
      </c>
      <c r="K88" s="38">
        <f t="shared" si="5"/>
        <v>16980050</v>
      </c>
      <c r="L88" s="39" t="s">
        <v>86</v>
      </c>
      <c r="M88" s="33" t="s">
        <v>130</v>
      </c>
      <c r="N88" s="35"/>
      <c r="O88" s="34" t="s">
        <v>27</v>
      </c>
    </row>
    <row r="89" spans="1:15" customFormat="1" ht="16.5" customHeight="1" x14ac:dyDescent="0.3">
      <c r="A89" s="23">
        <v>86</v>
      </c>
      <c r="B89" s="34" t="s">
        <v>159</v>
      </c>
      <c r="C89" s="35" t="s">
        <v>42</v>
      </c>
      <c r="D89" s="35"/>
      <c r="E89" s="35" t="s">
        <v>32</v>
      </c>
      <c r="F89" s="34" t="s">
        <v>33</v>
      </c>
      <c r="G89" s="35"/>
      <c r="H89" s="37">
        <v>4</v>
      </c>
      <c r="I89" s="36">
        <v>7300</v>
      </c>
      <c r="J89" s="36">
        <f t="shared" si="4"/>
        <v>29200</v>
      </c>
      <c r="K89" s="38">
        <f t="shared" si="5"/>
        <v>17009250</v>
      </c>
      <c r="L89" s="39" t="s">
        <v>139</v>
      </c>
      <c r="M89" s="33" t="s">
        <v>151</v>
      </c>
      <c r="N89" s="35"/>
      <c r="O89" s="34" t="s">
        <v>27</v>
      </c>
    </row>
    <row r="90" spans="1:15" customFormat="1" ht="16.5" customHeight="1" x14ac:dyDescent="0.3">
      <c r="A90" s="23">
        <v>87</v>
      </c>
      <c r="B90" s="34" t="s">
        <v>159</v>
      </c>
      <c r="C90" s="35" t="s">
        <v>31</v>
      </c>
      <c r="D90" s="35"/>
      <c r="E90" s="35" t="s">
        <v>90</v>
      </c>
      <c r="F90" s="34" t="s">
        <v>33</v>
      </c>
      <c r="G90" s="35"/>
      <c r="H90" s="37">
        <v>15</v>
      </c>
      <c r="I90" s="36">
        <v>28000</v>
      </c>
      <c r="J90" s="36">
        <f t="shared" si="4"/>
        <v>420000</v>
      </c>
      <c r="K90" s="38">
        <f t="shared" si="5"/>
        <v>17429250</v>
      </c>
      <c r="L90" s="39" t="s">
        <v>160</v>
      </c>
      <c r="M90" s="33" t="s">
        <v>142</v>
      </c>
      <c r="N90" s="35"/>
      <c r="O90" s="34" t="s">
        <v>27</v>
      </c>
    </row>
    <row r="91" spans="1:15" customFormat="1" ht="16.5" customHeight="1" x14ac:dyDescent="0.3">
      <c r="A91" s="23"/>
      <c r="B91" s="46" t="s">
        <v>9</v>
      </c>
      <c r="C91" s="46"/>
      <c r="D91" s="46"/>
      <c r="E91" s="46"/>
      <c r="F91" s="46"/>
      <c r="G91" s="46"/>
      <c r="H91" s="46"/>
      <c r="I91" s="46"/>
      <c r="J91" s="56">
        <f>SUM(J4:J90)</f>
        <v>17429250</v>
      </c>
      <c r="K91" s="7"/>
      <c r="L91" s="7"/>
      <c r="M91" s="28"/>
      <c r="N91" s="3"/>
      <c r="O91" s="6"/>
    </row>
    <row r="92" spans="1:15" customFormat="1" ht="16.5" customHeight="1" thickBot="1" x14ac:dyDescent="0.35">
      <c r="A92" s="24"/>
      <c r="B92" s="47" t="s">
        <v>10</v>
      </c>
      <c r="C92" s="47"/>
      <c r="D92" s="47"/>
      <c r="E92" s="47"/>
      <c r="F92" s="47"/>
      <c r="G92" s="47"/>
      <c r="H92" s="47"/>
      <c r="I92" s="47"/>
      <c r="J92" s="8">
        <v>0</v>
      </c>
      <c r="K92" s="26">
        <f>J92+J91</f>
        <v>17429250</v>
      </c>
      <c r="L92" s="8"/>
      <c r="M92" s="29"/>
      <c r="N92" s="9"/>
      <c r="O92" s="10"/>
    </row>
    <row r="93" spans="1:15" ht="22.5" customHeight="1" thickBot="1" x14ac:dyDescent="0.35">
      <c r="A93" s="43" t="s">
        <v>20</v>
      </c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5"/>
    </row>
    <row r="95" spans="1:15" ht="31.5" x14ac:dyDescent="0.3">
      <c r="B95" s="40" t="s">
        <v>21</v>
      </c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</row>
    <row r="96" spans="1:15" ht="17.25" thickBot="1" x14ac:dyDescent="0.35"/>
    <row r="97" spans="8:15" x14ac:dyDescent="0.3">
      <c r="J97" s="11" t="s">
        <v>4</v>
      </c>
      <c r="K97" s="16">
        <f>J92</f>
        <v>0</v>
      </c>
    </row>
    <row r="98" spans="8:15" x14ac:dyDescent="0.3">
      <c r="J98" s="12" t="s">
        <v>5</v>
      </c>
      <c r="K98" s="17">
        <f>J91</f>
        <v>17429250</v>
      </c>
    </row>
    <row r="99" spans="8:15" ht="17.25" thickBot="1" x14ac:dyDescent="0.35">
      <c r="J99" s="13" t="s">
        <v>6</v>
      </c>
      <c r="K99" s="25">
        <f>K97+K98</f>
        <v>17429250</v>
      </c>
    </row>
    <row r="100" spans="8:15" ht="17.25" thickBot="1" x14ac:dyDescent="0.35"/>
    <row r="101" spans="8:15" x14ac:dyDescent="0.3">
      <c r="J101" s="14" t="s">
        <v>7</v>
      </c>
      <c r="K101" s="16">
        <v>0</v>
      </c>
      <c r="M101" s="36">
        <v>73000</v>
      </c>
    </row>
    <row r="102" spans="8:15" ht="17.25" thickBot="1" x14ac:dyDescent="0.35">
      <c r="J102" s="15" t="s">
        <v>8</v>
      </c>
      <c r="K102" s="18">
        <f>K98-K101-K103</f>
        <v>17429250</v>
      </c>
      <c r="M102" s="36">
        <v>127500</v>
      </c>
    </row>
    <row r="103" spans="8:15" x14ac:dyDescent="0.3">
      <c r="M103" s="36">
        <v>212500</v>
      </c>
    </row>
    <row r="104" spans="8:15" x14ac:dyDescent="0.3">
      <c r="H104" s="37">
        <v>2</v>
      </c>
      <c r="M104" s="36">
        <v>3000000</v>
      </c>
    </row>
    <row r="105" spans="8:15" x14ac:dyDescent="0.3">
      <c r="H105" s="37">
        <v>1</v>
      </c>
      <c r="M105" s="36">
        <v>420000</v>
      </c>
      <c r="O105" s="36">
        <v>73000</v>
      </c>
    </row>
    <row r="106" spans="8:15" x14ac:dyDescent="0.3">
      <c r="H106" s="37">
        <v>4</v>
      </c>
      <c r="M106" s="36">
        <v>140000</v>
      </c>
      <c r="O106" s="36">
        <v>127500</v>
      </c>
    </row>
    <row r="107" spans="8:15" x14ac:dyDescent="0.3">
      <c r="H107" s="37">
        <v>3</v>
      </c>
      <c r="M107" s="36">
        <v>525000</v>
      </c>
      <c r="O107" s="36">
        <v>212500</v>
      </c>
    </row>
    <row r="108" spans="8:15" x14ac:dyDescent="0.3">
      <c r="H108" s="37">
        <v>3</v>
      </c>
      <c r="J108" s="36">
        <v>348800</v>
      </c>
      <c r="M108" s="36">
        <v>340000</v>
      </c>
      <c r="O108" s="51">
        <v>3000000</v>
      </c>
    </row>
    <row r="109" spans="8:15" x14ac:dyDescent="0.3">
      <c r="H109" s="37">
        <v>2</v>
      </c>
      <c r="J109" s="36">
        <v>194400</v>
      </c>
      <c r="M109" s="36">
        <v>34000</v>
      </c>
      <c r="O109" s="36">
        <v>420000</v>
      </c>
    </row>
    <row r="110" spans="8:15" x14ac:dyDescent="0.3">
      <c r="H110" s="37">
        <v>1</v>
      </c>
      <c r="J110" s="36">
        <v>20000</v>
      </c>
      <c r="M110" s="36">
        <v>968000</v>
      </c>
      <c r="O110" s="36">
        <v>140000</v>
      </c>
    </row>
    <row r="111" spans="8:15" x14ac:dyDescent="0.3">
      <c r="H111" s="37">
        <v>3</v>
      </c>
      <c r="J111" s="36">
        <v>806600</v>
      </c>
      <c r="M111" s="36">
        <v>280000</v>
      </c>
      <c r="O111" s="36">
        <v>525000</v>
      </c>
    </row>
    <row r="112" spans="8:15" x14ac:dyDescent="0.3">
      <c r="H112" s="37">
        <v>3</v>
      </c>
      <c r="J112" s="36">
        <v>972000</v>
      </c>
      <c r="M112" s="36">
        <v>420000</v>
      </c>
      <c r="O112" s="36">
        <v>340000</v>
      </c>
    </row>
    <row r="113" spans="8:15" x14ac:dyDescent="0.3">
      <c r="H113" s="37">
        <v>2</v>
      </c>
      <c r="J113" s="36">
        <v>40500</v>
      </c>
      <c r="M113" s="30">
        <f>SUBTOTAL(9,M101:M112)</f>
        <v>6540000</v>
      </c>
      <c r="O113" s="36">
        <v>34000</v>
      </c>
    </row>
    <row r="114" spans="8:15" x14ac:dyDescent="0.3">
      <c r="H114" s="37">
        <v>2</v>
      </c>
      <c r="J114" s="4">
        <f>SUBTOTAL(9,J108:J113)</f>
        <v>2382300</v>
      </c>
      <c r="O114" s="36">
        <v>968000</v>
      </c>
    </row>
    <row r="115" spans="8:15" x14ac:dyDescent="0.3">
      <c r="H115" s="37">
        <v>3</v>
      </c>
      <c r="O115" s="36">
        <v>280000</v>
      </c>
    </row>
    <row r="116" spans="8:15" x14ac:dyDescent="0.3">
      <c r="H116" s="37">
        <v>1</v>
      </c>
      <c r="O116" s="36">
        <v>420000</v>
      </c>
    </row>
    <row r="117" spans="8:15" x14ac:dyDescent="0.3">
      <c r="H117" s="37">
        <v>3</v>
      </c>
      <c r="O117" s="4">
        <f>SUBTOTAL(9,O105:O116)</f>
        <v>6540000</v>
      </c>
    </row>
    <row r="118" spans="8:15" x14ac:dyDescent="0.3">
      <c r="H118" s="37">
        <v>1</v>
      </c>
    </row>
    <row r="119" spans="8:15" x14ac:dyDescent="0.3">
      <c r="H119" s="37">
        <v>2</v>
      </c>
    </row>
    <row r="120" spans="8:15" x14ac:dyDescent="0.3">
      <c r="H120" s="37">
        <v>2</v>
      </c>
    </row>
    <row r="121" spans="8:15" x14ac:dyDescent="0.3">
      <c r="H121" s="37">
        <v>2</v>
      </c>
    </row>
    <row r="122" spans="8:15" x14ac:dyDescent="0.3">
      <c r="H122" s="4">
        <f>SUBTOTAL(9,H104:H121)</f>
        <v>40</v>
      </c>
    </row>
  </sheetData>
  <autoFilter ref="B3:O93" xr:uid="{00000000-0001-0000-0000-000000000000}"/>
  <mergeCells count="6">
    <mergeCell ref="B95:O95"/>
    <mergeCell ref="A1:O1"/>
    <mergeCell ref="A2:O2"/>
    <mergeCell ref="A93:O93"/>
    <mergeCell ref="B91:I91"/>
    <mergeCell ref="B92:I92"/>
  </mergeCells>
  <phoneticPr fontId="1" type="noConversion"/>
  <pageMargins left="0.27559055118110237" right="0.11811023622047245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원장</vt:lpstr>
      <vt:lpstr>원장!Print_Titles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태성푸드메인</dc:creator>
  <cp:lastModifiedBy>준호 이</cp:lastModifiedBy>
  <cp:lastPrinted>2015-01-29T06:00:14Z</cp:lastPrinted>
  <dcterms:created xsi:type="dcterms:W3CDTF">2014-05-01T06:13:05Z</dcterms:created>
  <dcterms:modified xsi:type="dcterms:W3CDTF">2025-11-28T02:13:15Z</dcterms:modified>
</cp:coreProperties>
</file>